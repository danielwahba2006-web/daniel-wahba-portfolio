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Summary" sheetId="1" r:id="rId1"/>
    <sheet name="Assumptions" sheetId="2" r:id="rId3"/>
    <sheet name="Income Statement" sheetId="3" r:id="rId4"/>
    <sheet name="Balance Sheet" sheetId="4" r:id="rId5"/>
    <sheet name="Cash Flow Statement" sheetId="5" r:id="rId6"/>
    <sheet name="Sources" sheetId="6" r:id="rId7"/>
  </sheets>
  <calcPr fullCalcOnLoad="1"/>
</workbook>
</file>

<file path=xl/sharedStrings.xml><?xml version="1.0" encoding="utf-8"?>
<sst xmlns="http://schemas.openxmlformats.org/spreadsheetml/2006/main" count="208" uniqueCount="208">
  <si>
    <t>COSTCO WHOLESALE CORPORATION (NASDAQ: COST) - THREE-STATEMENT OPERATING MODEL</t>
  </si>
  <si>
    <t xml:space="preserve">Daniel Wahba  |  Model Date: July 7, 2026  |  Fiscal Year Ends Last Sunday in August</t>
  </si>
  <si>
    <t>COMPANY SNAPSHOT</t>
  </si>
  <si>
    <t>KEY MODEL OUTPUTS (FY2030E)</t>
  </si>
  <si>
    <t>Ticker / Exchange</t>
  </si>
  <si>
    <t>COST / Nasdaq Global Select Market</t>
  </si>
  <si>
    <t>FY2030E Revenue ()</t>
  </si>
  <si>
    <t>Sector</t>
  </si>
  <si>
    <t>Consumer Staples - Warehouse Clubs &amp; Superstores</t>
  </si>
  <si>
    <t>FY2030E EBITDA ()</t>
  </si>
  <si>
    <t>Fiscal Year End</t>
  </si>
  <si>
    <t>August 30, 2025 (FY2025A)</t>
  </si>
  <si>
    <t>FY2030E Net Income ()</t>
  </si>
  <si>
    <t>Current Share Price</t>
  </si>
  <si>
    <t>FY2030E Diluted EPS</t>
  </si>
  <si>
    <t>Diluted Shares Outstanding (mm)</t>
  </si>
  <si>
    <t>Revenue CAGR (FY25A-FY30E)</t>
  </si>
  <si>
    <t>Market Capitalization ($mm)</t>
  </si>
  <si>
    <t>EPS CAGR (FY25A-FY30E)</t>
  </si>
  <si>
    <t>Total Debt ($mm)</t>
  </si>
  <si>
    <t>Net Cash Position ($mm)</t>
  </si>
  <si>
    <t>MODEL METHODOLOGY &amp; KEY ASSUMPTIONS</t>
  </si>
  <si>
    <t xml:space="preserve">-  Revenue growth tapers from 8.3% (FY2026E, anchored to FactSet/TIKR 3-yr consensus CAGR of 8.32% per stockanalysis.com) to 6.5% (FY2030E) as the warehouse base matures and comp growth normalizes.</t>
  </si>
  <si>
    <t xml:space="preserve">-  Gross margin held near FY2025A actual (12.84%) with modest 25bps/yr drift toward 13.1% by FY2030E - consistent with Costco's publicly stated policy of capping merchandise margins to drive membership renewal, per management commentary in FY2025 10-K.</t>
  </si>
  <si>
    <t xml:space="preserve">-  SG&amp;A ratio improves modestly (9.07% to 8.80% of revenue) reflecting operating leverage on a growing warehouse base; effective tax rate held flat at 25.0% (vs. FY2025A actual of 25.14%).</t>
  </si>
  <si>
    <t xml:space="preserve">-  No circularity: interest income &amp; cash are NOT modeled as interdependent (interest income held as a direct assumption, not calculated off the projected cash balance) - a deliberate simplification to keep the model fully non-iterative and error-free.</t>
  </si>
  <si>
    <t xml:space="preserve">-  Dividend payout ratio held at 27.0% of net income (vs. FY2025A actual of 26.95%, excluding the one-time .0bn special dividend paid in January 2024); share buybacks held flat at ~,300mm/yr, near the FY2025A run-rate of ,296mm.</t>
  </si>
  <si>
    <t xml:space="preserve">-  Balance sheet 'Other' asset/liability lines are derived as residuals (Total less itemized line items) from reported totals - each is explained on the Sources tab; these residuals are held flat as a % of revenue or COGS through the forecast.</t>
  </si>
  <si>
    <t>COLOR KEY USED THROUGHOUT THIS MODEL</t>
  </si>
  <si>
    <t>Blue font</t>
  </si>
  <si>
    <t>Hardcoded input / assumption (sourced from filings, market data, or analyst judgment)</t>
  </si>
  <si>
    <t>Black font</t>
  </si>
  <si>
    <t>Formula calculated within the same worksheet</t>
  </si>
  <si>
    <t>Green font</t>
  </si>
  <si>
    <t>Formula linking to another worksheet in this workbook</t>
  </si>
  <si>
    <t>Yellow highlight</t>
  </si>
  <si>
    <t>Key output cell</t>
  </si>
  <si>
    <t>WORKBOOK NAVIGATION</t>
  </si>
  <si>
    <t>Summary</t>
  </si>
  <si>
    <t>This page - executive overview, key outputs, methodology, and navigation.</t>
  </si>
  <si>
    <t>Assumptions</t>
  </si>
  <si>
    <t>All revenue, margin, working-capital, and capital-allocation drivers with sourcing notes.</t>
  </si>
  <si>
    <t>Income Statement</t>
  </si>
  <si>
    <t>FY2022A-FY2025A actuals and FY2026E-FY2030E forecast, formula-driven from Assumptions.</t>
  </si>
  <si>
    <t>Balance Sheet</t>
  </si>
  <si>
    <t>FY2022A-FY2025A actuals and FY2026E-FY2030E forecast, with a balance check row.</t>
  </si>
  <si>
    <t>Cash Flow Statement</t>
  </si>
  <si>
    <t>Indirect-method CFO/CFI/CFF, fully linked to the Income Statement and Balance Sheet.</t>
  </si>
  <si>
    <t>Sources</t>
  </si>
  <si>
    <t>Full bibliography of every data source and methodology note used in this model.</t>
  </si>
  <si>
    <t>COSTCO WHOLESALE CORPORATION - MODEL ASSUMPTIONS</t>
  </si>
  <si>
    <t xml:space="preserve">Daniel Wahba  |  All forecast-driver assumptions for FY2026E-FY2030E. Historical ratios (source baseline) shown in the Notes column.</t>
  </si>
  <si>
    <t/>
  </si>
  <si>
    <t>FY2022A</t>
  </si>
  <si>
    <t>FY2023A</t>
  </si>
  <si>
    <t>FY2024A</t>
  </si>
  <si>
    <t>FY2025A</t>
  </si>
  <si>
    <t>FY2026E</t>
  </si>
  <si>
    <t>FY2027E</t>
  </si>
  <si>
    <t>FY2028E</t>
  </si>
  <si>
    <t>FY2029E</t>
  </si>
  <si>
    <t>FY2030E</t>
  </si>
  <si>
    <t>NOTES / SOURCE</t>
  </si>
  <si>
    <t>REVENUE &amp; MARGIN ASSUMPTIONS</t>
  </si>
  <si>
    <t>Revenue Growth %</t>
  </si>
  <si>
    <t>FY26E-28E anchored to FactSet/TIKR 3-yr consensus CAGR of 8.32% (stockanalysis.com, 7/7/2026); tapered further for FY29E-30E per typical deceleration modeling.</t>
  </si>
  <si>
    <t>Gross Margin %</t>
  </si>
  <si>
    <t>FY2025A actual = 12.84% ($35,349mm / $275,235mm). Modest 25bps/yr drift assumed from e-commerce &amp; ancillary mix; Costco caps merchandise margins by policy per FY2025 10-K.</t>
  </si>
  <si>
    <t>SG&amp;A % of Revenue</t>
  </si>
  <si>
    <t>FY2025A actual = 9.07% ($24,966mm / $275,235mm). Gradual opex leverage assumed on a growing warehouse base.</t>
  </si>
  <si>
    <t>D&amp;A % of Revenue</t>
  </si>
  <si>
    <t>FY2025A actual = 0.88% ($2,426mm / $275,235mm). Ticks up slightly with an expanding PP&amp;E base from continued warehouse openings.</t>
  </si>
  <si>
    <t>Effective Tax Rate %</t>
  </si>
  <si>
    <t>FY2025A actual = 25.14% ($2,719mm / $10,818mm); held flat at a round 25.0%.</t>
  </si>
  <si>
    <t>Interest Expense ($mm)</t>
  </si>
  <si>
    <t>FY2025A actual = $154mm. Held roughly flat - Costco carries minimal debt ($5.7bn LT debt vs. $77bn total assets).</t>
  </si>
  <si>
    <t>Interest Income &amp; Other, Net ($mm)</t>
  </si>
  <si>
    <t>FY2025A actual (derived) = $589mm = Pretax Income - Operating Income + Interest Expense, per 10-K IS presentation. Grown ~6%/yr with rising net cash balance (deliberately NOT formula-linked to the projected cash balance, to avoid circularity).</t>
  </si>
  <si>
    <t>CAPITAL ALLOCATION ASSUMPTIONS</t>
  </si>
  <si>
    <t>Capex % of Revenue</t>
  </si>
  <si>
    <t>FY2025A actual = 2.00% ($5,498mm / $275,235mm). Held roughly flat - continued warehouse &amp; e-commerce fulfillment capacity expansion.</t>
  </si>
  <si>
    <t>Dividend Payout Ratio %</t>
  </si>
  <si>
    <t>FY2025A actual = 26.95% ($2,183mm / $8,099mm NI), EXCLUDING the one-time $9,041mm special dividend paid Jan-2024 (FY2024). Held flat at 27.0%.</t>
  </si>
  <si>
    <t>Share Buybacks ($mm)</t>
  </si>
  <si>
    <t>FY2025A actual = $1,296mm. Held flat near the recent run-rate.</t>
  </si>
  <si>
    <t>FY2022A-FY2025A actual range = 444-445mm (stable). Buybacks assumed to roughly offset SBC-driven share issuance, consistent with the 4-yr historical pattern.</t>
  </si>
  <si>
    <t>Stock-Based Comp % of Revenue</t>
  </si>
  <si>
    <t>FY2025A actual = 0.31% ($860mm / $275,235mm). Held flat.</t>
  </si>
  <si>
    <t>WORKING CAPITAL &amp; BALANCE SHEET ASSUMPTIONS (held flat at FY2025A ratios)</t>
  </si>
  <si>
    <t>Accounts Receivable % of Revenue</t>
  </si>
  <si>
    <t>FY2025A actual = 1.16% ($3,203mm / $275,235mm).</t>
  </si>
  <si>
    <t>Merchandise Inventory % of COGS</t>
  </si>
  <si>
    <t>FY2025A actual = 7.55% ($18,116mm / $239,886mm).</t>
  </si>
  <si>
    <t>Other Current Assets % of Revenue</t>
  </si>
  <si>
    <t>FY2025A actual (derived residual) = 0.65% ($1,777mm / $275,235mm).</t>
  </si>
  <si>
    <t>Accounts Payable % of COGS</t>
  </si>
  <si>
    <t>FY2025A actual = 8.25% ($19,783mm / $239,886mm).</t>
  </si>
  <si>
    <t>Accrued Expenses % of Revenue</t>
  </si>
  <si>
    <t>FY2025A actual = 1.89% ($5,205mm / $275,235mm).</t>
  </si>
  <si>
    <t>Other Current Liabilities % of Revenue</t>
  </si>
  <si>
    <t>FY2025A actual (derived residual, incl. deferred membership fees &amp; accrued payroll) = 4.40% ($12,120mm / $275,235mm).</t>
  </si>
  <si>
    <t>Other Long-Term Assets % of Revenue</t>
  </si>
  <si>
    <t>FY2025A actual (derived residual) = 1.48% ($4,085mm / $275,235mm).</t>
  </si>
  <si>
    <t>Other Long-Term Liabilities % of Revenue</t>
  </si>
  <si>
    <t>FY2025A actual (derived residual) = 1.86% ($5,114mm / $275,235mm).</t>
  </si>
  <si>
    <t>Short-Term Investments ($mm)</t>
  </si>
  <si>
    <t>FY2025A actual = $1,123mm. Held flat (immaterial balance).</t>
  </si>
  <si>
    <t>Long-Term Debt ($mm)</t>
  </si>
  <si>
    <t>FY2025A actual = $5,713mm. Held flat - no major issuance or repayment assumed.</t>
  </si>
  <si>
    <t>Current Portion of LT Debt ($mm)</t>
  </si>
  <si>
    <t>FY2024A-FY2025A actual = $0 (no near-term maturities disclosed). Held at $0.</t>
  </si>
  <si>
    <t>COSTCO WHOLESALE CORPORATION - INCOME STATEMENT</t>
  </si>
  <si>
    <t xml:space="preserve">Daniel Wahba  |  $ in millions, except per-share data  |  FY2022A-FY2025A actual, FY2026E-FY2030E forecast</t>
  </si>
  <si>
    <t>Revenue</t>
  </si>
  <si>
    <t>Cost of Merchandise Sold</t>
  </si>
  <si>
    <t>Gross Profit</t>
  </si>
  <si>
    <t>Selling, General &amp; Administrative</t>
  </si>
  <si>
    <t>Operating Income (EBIT)</t>
  </si>
  <si>
    <t xml:space="preserve">  (+) Depreciation &amp; Amortization</t>
  </si>
  <si>
    <t>EBITDA</t>
  </si>
  <si>
    <t>Interest Expense</t>
  </si>
  <si>
    <t>Interest Income &amp; Other, Net</t>
  </si>
  <si>
    <t>Pretax Income</t>
  </si>
  <si>
    <t>Income Tax Expense</t>
  </si>
  <si>
    <t>Net Income</t>
  </si>
  <si>
    <t>Diluted EPS</t>
  </si>
  <si>
    <t>MEMO: KEY RATIOS</t>
  </si>
  <si>
    <t>Operating Margin %</t>
  </si>
  <si>
    <t>Net Margin %</t>
  </si>
  <si>
    <t>COSTCO WHOLESALE CORPORATION - BALANCE SHEET</t>
  </si>
  <si>
    <t xml:space="preserve">Daniel Wahba  |  $ in millions  |  FY2022A-FY2025A actual, FY2026E-FY2030E forecast</t>
  </si>
  <si>
    <t>ASSETS</t>
  </si>
  <si>
    <t>Cash &amp; Cash Equivalents</t>
  </si>
  <si>
    <t>Short-Term Investments</t>
  </si>
  <si>
    <t>Accounts Receivable</t>
  </si>
  <si>
    <t>Merchandise Inventories</t>
  </si>
  <si>
    <t>Other Current Assets</t>
  </si>
  <si>
    <t>Total Current Assets</t>
  </si>
  <si>
    <t>Property &amp; Equipment, Net</t>
  </si>
  <si>
    <t>Other Long-Term Assets</t>
  </si>
  <si>
    <t>TOTAL ASSETS</t>
  </si>
  <si>
    <t>LIABILITIES</t>
  </si>
  <si>
    <t>Accounts Payable</t>
  </si>
  <si>
    <t>Accrued Salaries, Benefits &amp; Other</t>
  </si>
  <si>
    <t>Current Portion of Long-Term Debt</t>
  </si>
  <si>
    <t>Other Current Liabilities</t>
  </si>
  <si>
    <t>Total Current Liabilities</t>
  </si>
  <si>
    <t>Long-Term Debt</t>
  </si>
  <si>
    <t>Other Long-Term Liabilities</t>
  </si>
  <si>
    <t>TOTAL LIABILITIES</t>
  </si>
  <si>
    <t>SHAREHOLDERS' EQUITY</t>
  </si>
  <si>
    <t>Total Shareholders' Equity</t>
  </si>
  <si>
    <t>TOTAL LIABILITIES &amp; SHAREHOLDERS' EQUITY</t>
  </si>
  <si>
    <t>Balance Check (Assets - Liab. &amp; Equity)</t>
  </si>
  <si>
    <t>COSTCO WHOLESALE CORPORATION - CASH FLOW STATEMENT</t>
  </si>
  <si>
    <t xml:space="preserve">Daniel Wahba  |  $ in millions  |  FY2022A-FY2025A actual, FY2026E-FY2030E forecast  |  Indirect method</t>
  </si>
  <si>
    <t>OPERATING ACTIVITIES</t>
  </si>
  <si>
    <t xml:space="preserve">  (+) Stock-Based Compensation</t>
  </si>
  <si>
    <t xml:space="preserve">  (+/-) Change in Net Working Capital</t>
  </si>
  <si>
    <t xml:space="preserve">  (+/-) Other Operating Activities, Net (hist.); Chg. in Other LT Assets/Liab. (fcst.)</t>
  </si>
  <si>
    <t>Cash Flow from Operations</t>
  </si>
  <si>
    <t>INVESTING ACTIVITIES</t>
  </si>
  <si>
    <t>Capital Expenditures</t>
  </si>
  <si>
    <t>Cash Flow from Investing (Capex; hist. incl. ST investment activity)</t>
  </si>
  <si>
    <t>FINANCING ACTIVITIES</t>
  </si>
  <si>
    <t>Dividends Paid</t>
  </si>
  <si>
    <t>Share Buybacks</t>
  </si>
  <si>
    <t>Debt Repayment &amp; Other Financing, Net</t>
  </si>
  <si>
    <t>Cash Flow from Financing</t>
  </si>
  <si>
    <t>Net Change in Cash</t>
  </si>
  <si>
    <t>Effect of Exchange Rates &amp; Other</t>
  </si>
  <si>
    <t>Cash - Beginning of Period</t>
  </si>
  <si>
    <t>Cash - Ending of Period</t>
  </si>
  <si>
    <t>SOURCES &amp; METHODOLOGY NOTES</t>
  </si>
  <si>
    <t xml:space="preserve">Daniel Wahba  |  Costco Wholesale Corporation (NASDAQ: COST) - Three-Statement Operating Model</t>
  </si>
  <si>
    <t>#</t>
  </si>
  <si>
    <t>Source</t>
  </si>
  <si>
    <t>Used For</t>
  </si>
  <si>
    <t>1</t>
  </si>
  <si>
    <t>Costco Wholesale Corp. FY2025 Form 10-K, filed 9/25/2025, SEC CIK 0000909832 (fiscal year ended 8/31/2025)</t>
  </si>
  <si>
    <t>Primary source for all FY2025A figures; company description; fiscal year-end convention.</t>
  </si>
  <si>
    <t>2</t>
  </si>
  <si>
    <t>stockanalysis.com/stocks/cost/financials/ - Income Statement, accessed 7/7/2026</t>
  </si>
  <si>
    <t>FY2022A-FY2025A Revenue, COGS, SG&amp;A, Operating Income, Interest Expense, Pretax Income, Tax, Net Income, Diluted EPS &amp; Shares, EBITDA.</t>
  </si>
  <si>
    <t>3</t>
  </si>
  <si>
    <t>stockanalysis.com/stocks/cost/financials/balance-sheet/ - Balance Sheet, accessed 7/7/2026</t>
  </si>
  <si>
    <t>FY2022A-FY2025A Cash, ST Investments, AR, Inventory, Total Current Assets, PP&amp;E, Total Assets, AP, Accrued Expenses, Current LTD, Total Current Liabilities, LT Debt, Total Liabilities, Total Equity.</t>
  </si>
  <si>
    <t>4</t>
  </si>
  <si>
    <t>stockanalysis.com/stocks/cost/financials/cash-flow-statement/ - Cash Flow Statement, accessed 7/7/2026</t>
  </si>
  <si>
    <t>FY2022A-FY2025A Net Income, D&amp;A, Stock-Based Comp, Working Capital Change, CFO, Capex, CFI, Dividends, Buybacks, CFF.</t>
  </si>
  <si>
    <t>5</t>
  </si>
  <si>
    <t>stockanalysis.com/stocks/cost/statistics/ - Key Statistics, accessed 7/7/2026</t>
  </si>
  <si>
    <t>Current share price ($947.50), market cap ($420.2bn), enterprise value, total debt, cash, TTM P/E, EV/EBITDA, 3-yr revenue growth consensus (8.32%).</t>
  </si>
  <si>
    <t>6</t>
  </si>
  <si>
    <t>Costco Investor Relations - Q4 &amp; Full-Year FY2025 Operating Results press release</t>
  </si>
  <si>
    <t>Corroboration of FY2025A net sales (+8% to $269.9bn) and membership fee revenue (+10% to $5.3bn).</t>
  </si>
  <si>
    <t>METHODOLOGY / DERIVATION NOTES</t>
  </si>
  <si>
    <t xml:space="preserve">-  'Interest Income &amp; Other, Net' (Income Statement, historical) is derived as Pretax Income - Operating Income + Interest Expense for each fiscal year, consistent with Costco's income statement presentation, which reports interest expense and non-operating interest/other income as separate lines below operating income.</t>
  </si>
  <si>
    <t xml:space="preserve">-  'Other Current Assets', 'Other Long-Term Assets', 'Other Current Liabilities' (incl. deferred membership fees &amp; accrued payroll), and 'Other Long-Term Liabilities' (Balance Sheet, historical) are each derived as the residual needed to reconcile itemized line items to Costco's reported subtotal/total for that year - i.e., Total less the sum of itemized components. This is standard practice when working from aggregated third-party financial data rather than the line-item detail in the full 10-K notes.</t>
  </si>
  <si>
    <t xml:space="preserve">-  FY2022A shows a $5mm balance-check variance (Total Assets vs. Total Liabilities &amp; Equity), equal to 0.008% of total assets - an immaterial rounding artifact traced to the underlying aggregated data source, not a modeling error. FY2023A-FY2025A tie exactly to $0.</t>
  </si>
  <si>
    <t xml:space="preserve">-  'Other Operating Activities, Net' and 'Debt Repayment &amp; Other Financing, Net' (Cash Flow Statement, historical) are residual plugs equal to reported CFO/CFF less the itemized lines shown (e.g., deferred taxes, employee tax withholding on equity awards, and other items not separately broken out by the data source).</t>
  </si>
  <si>
    <t xml:space="preserve">-  FY2022A 'Cash - Beginning of Period' ($11,009mm) is implied by working backward from FY2022A's known ending cash balance and net cash flow activity, since FY2021A balance sheet data was outside this build's source set.</t>
  </si>
  <si>
    <t xml:space="preserve">-  FY2024A dividends paid of $9,041mm include a one-time special cash dividend of $15.00/share (~$6.7bn) paid January 2024, in addition to the regular quarterly dividend - this is why the FY2026E-FY2030E dividend assumption is anchored to the FY2025A payout ratio (26.95%), not FY2024A.</t>
  </si>
  <si>
    <t xml:space="preserve">-  Forecast 'Other' balance-sheet lines, SBC, and select cash-flow items are held flat as a % of revenue/COGS at FY2025A levels - a standard simplifying assumption for a student-built model; a professional model would build each from further bottom-up detail.</t>
  </si>
  <si>
    <t xml:space="preserve">-  The model is intentionally built with NO circular references: interest income is a direct (non-cash-linked) assumption, so the workbook calculates correctly with iterative calculation OFF.</t>
  </si>
  <si>
    <t xml:space="preserve">-  'Cash Flow from Investing' for FY2022A-FY2025A is the actual reported total (which includes net purchases/maturities of short-term investments, not itemized separately), and is therefore slightly larger in magnitude than 'Capital Expenditures' alone. FY2026E-FY2030E investing cash flow is modeled as Capex only (short-term investments held flat per the Assumptions tab), a disclosed simplification.</t>
  </si>
  <si>
    <t xml:space="preserve">-  Forecast 'Total Shareholders' Equity' rolls forward as: prior equity + Net Income + Dividends Paid + Share Buybacks + Stock-Based Compensation. SBC is added back because, while it reduces Net Income (and therefore retained earnings) as a non-cash expense, the offsetting entry is a credit to Additional Paid-In Capital -- so it does not reduce total equity on a net basis. This keeps the balance sheet tying exactly in every forecast year.</t>
  </si>
  <si>
    <t xml:space="preserve">-  For FY2026E-FY2030E, the operating cash flow line 'Chg. in Other LT Assets/Liab.' captures the year-over-year change in the Balance Sheet's 'Other Long-Term Assets' and 'Other Long-Term Liabilities' lines (both modeled as a % of revenue), so that growth in those balance-sheet items is reflected in cash flow -- without it, the balance sheet would not tie in the forecast period.</t>
  </si>
</sst>
</file>

<file path=xl/styles.xml><?xml version="1.0" encoding="utf-8"?>
<styleSheet xmlns="http://schemas.openxmlformats.org/spreadsheetml/2006/main">
  <numFmts count="5">
    <numFmt numFmtId="164" formatCode="$#,##0.00"/>
    <numFmt numFmtId="165" formatCode="#,##0;(#,##0)"/>
    <numFmt numFmtId="166" formatCode="$#,##0.00;($#,##0.00)"/>
    <numFmt numFmtId="167" formatCode="0.0%;(0.0%)"/>
    <numFmt numFmtId="168" formatCode="0.00%;(0.00%)"/>
  </numFmts>
  <fonts count="10">
    <font>
      <sz val="11"/>
      <name val="Calibri"/>
    </font>
    <font>
      <b/>
      <sz val="14"/>
      <color rgb="FF000000" tint="0"/>
      <name val="Calibri"/>
    </font>
    <font>
      <sz val="10"/>
      <color rgb="FF595959" tint="0"/>
      <name val="Calibri"/>
    </font>
    <font>
      <b/>
      <sz val="10"/>
      <color rgb="FF000000" tint="0"/>
      <name val="Calibri"/>
    </font>
    <font>
      <sz val="10"/>
      <color rgb="FF000000" tint="0"/>
      <name val="Calibri"/>
    </font>
    <font>
      <sz val="10"/>
      <color rgb="FF0000CD" tint="0"/>
      <name val="Calibri"/>
    </font>
    <font>
      <b/>
      <sz val="10"/>
      <color rgb="FF008000" tint="0"/>
      <name val="Calibri"/>
    </font>
    <font>
      <b/>
      <sz val="10"/>
      <color rgb="FF0000CD" tint="0"/>
      <name val="Calibri"/>
    </font>
    <font>
      <b/>
      <sz val="10"/>
      <color rgb="FFFFFFFF" tint="0"/>
      <name val="Calibri"/>
    </font>
    <font>
      <sz val="10"/>
      <color rgb="FF008000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99" tint="0"/>
      </patternFill>
    </fill>
    <fill>
      <patternFill patternType="solid">
        <fgColor rgb="FF0F1E3C" tint="0"/>
      </patternFill>
    </fill>
  </fills>
  <borders count="5">
    <border>
      <left/>
      <right/>
      <top/>
      <bottom/>
      <diagonal/>
    </border>
    <border>
      <left/>
      <right/>
      <top style="thin"/>
      <bottom/>
      <diagonal/>
    </border>
    <border>
      <left/>
      <right/>
      <top/>
      <bottom style="double"/>
      <diagonal/>
    </border>
    <border>
      <left/>
      <right/>
      <top style="thin"/>
      <bottom style="double"/>
      <diagonal/>
    </border>
    <border>
      <left/>
      <right/>
      <top/>
      <bottom style="thin"/>
      <diagonal/>
    </border>
  </borders>
  <cellStyleXfs count="1">
    <xf numFmtId="0" fontId="0"/>
  </cellStyleXfs>
  <cellXfs count="38">
    <xf numFmtId="0" applyNumberFormat="1" fontId="0" applyFont="1" xfId="0" applyProtection="1"/>
    <xf numFmtId="0" applyNumberFormat="1" fontId="1" applyFont="1" xfId="0" applyProtection="1"/>
    <xf numFmtId="0" applyNumberFormat="1" fontId="2" applyFont="1" xfId="0" applyProtection="1"/>
    <xf numFmtId="0" applyNumberFormat="1" fontId="3" applyFont="1" xfId="0" applyProtection="1"/>
    <xf numFmtId="0" applyNumberFormat="1" fontId="4" applyFont="1" xfId="0" applyProtection="1"/>
    <xf numFmtId="0" applyNumberFormat="1" fontId="5" applyFont="1" xfId="0" applyProtection="1"/>
    <xf numFmtId="164" applyNumberFormat="1" fontId="5" applyFont="1" xfId="0" applyProtection="1"/>
    <xf numFmtId="3" applyNumberFormat="1" fontId="5" applyFont="1" xfId="0" applyProtection="1"/>
    <xf numFmtId="165" applyNumberFormat="1" fontId="5" applyFont="1" xfId="0" applyProtection="1"/>
    <xf numFmtId="0" applyNumberFormat="1" fontId="6" applyFont="1" xfId="0" applyProtection="1"/>
    <xf numFmtId="165" applyNumberFormat="1" fontId="6" applyFont="1" xfId="0" applyProtection="1"/>
    <xf numFmtId="165" applyNumberFormat="1" fontId="6" applyFont="1" fillId="2" applyFill="1" xfId="0" applyProtection="1"/>
    <xf numFmtId="166" applyNumberFormat="1" fontId="6" applyFont="1" fillId="2" applyFill="1" xfId="0" applyProtection="1"/>
    <xf numFmtId="167" applyNumberFormat="1" fontId="6" applyFont="1" fillId="2" applyFill="1" xfId="0" applyProtection="1"/>
    <xf numFmtId="0" applyNumberFormat="1" fontId="4" applyFont="1" xfId="0" applyProtection="1">
      <alignment wrapText="1"/>
    </xf>
    <xf numFmtId="0" applyNumberFormat="1" fontId="7" applyFont="1" xfId="0" applyProtection="1"/>
    <xf numFmtId="0" applyNumberFormat="1" fontId="8" applyFont="1" fillId="3" applyFill="1" xfId="0" applyProtection="1" applyAlignment="1">
      <alignment horizontal="center"/>
    </xf>
    <xf numFmtId="0" applyNumberFormat="1" fontId="4" applyFont="1" fillId="3" applyFill="1" xfId="0" applyProtection="1"/>
    <xf numFmtId="167" applyNumberFormat="1" fontId="5" applyFont="1" xfId="0" applyProtection="1"/>
    <xf numFmtId="0" applyNumberFormat="1" fontId="2" applyFont="1" xfId="0" applyProtection="1">
      <alignment wrapText="1"/>
    </xf>
    <xf numFmtId="168" applyNumberFormat="1" fontId="5" applyFont="1" xfId="0" applyProtection="1"/>
    <xf numFmtId="165" applyNumberFormat="1" fontId="3" applyFont="1" xfId="0" applyProtection="1"/>
    <xf numFmtId="166" applyNumberFormat="1" fontId="7" applyFont="1" xfId="0" applyProtection="1"/>
    <xf numFmtId="165" applyNumberFormat="1" fontId="9" applyFont="1" xfId="0" applyProtection="1"/>
    <xf numFmtId="3" applyNumberFormat="1" fontId="9" applyFont="1" xfId="0" applyProtection="1"/>
    <xf numFmtId="166" applyNumberFormat="1" fontId="3" applyFont="1" xfId="0" applyProtection="1"/>
    <xf numFmtId="165" applyNumberFormat="1" fontId="5" applyFont="1" borderId="1" applyBorder="1" xfId="0" applyProtection="1"/>
    <xf numFmtId="165" applyNumberFormat="1" fontId="6" applyFont="1" borderId="1" applyBorder="1" xfId="0" applyProtection="1"/>
    <xf numFmtId="165" applyNumberFormat="1" fontId="3" applyFont="1" borderId="1" applyBorder="1" xfId="0" applyProtection="1"/>
    <xf numFmtId="165" applyNumberFormat="1" fontId="3" applyFont="1" borderId="2" applyBorder="1" xfId="0" applyProtection="1"/>
    <xf numFmtId="167" applyNumberFormat="1" fontId="2" applyFont="1" xfId="0" applyProtection="1"/>
    <xf numFmtId="165" applyNumberFormat="1" fontId="7" applyFont="1" xfId="0" applyProtection="1"/>
    <xf numFmtId="165" applyNumberFormat="1" fontId="3" applyFont="1" borderId="3" applyBorder="1" xfId="0" applyProtection="1"/>
    <xf numFmtId="165" applyNumberFormat="1" fontId="2" applyFont="1" fillId="2" applyFill="1" xfId="0" applyProtection="1"/>
    <xf numFmtId="165" applyNumberFormat="1" fontId="4" applyFont="1" xfId="0" applyProtection="1"/>
    <xf numFmtId="165" applyNumberFormat="1" fontId="7" applyFont="1" borderId="2" applyBorder="1" xfId="0" applyProtection="1"/>
    <xf numFmtId="165" applyNumberFormat="1" fontId="3" applyFont="1" fillId="2" applyFill="1" borderId="3" applyBorder="1" xfId="0" applyProtection="1"/>
    <xf numFmtId="0" applyNumberFormat="1" fontId="3" applyFont="1" borderId="4" applyBorder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43"/>
  <sheetViews>
    <sheetView workbookViewId="0" showGridLines="0" zoomScale="100" tabSelected="0"/>
  </sheetViews>
  <sheetFormatPr defaultRowHeight="15"/>
  <cols>
    <col min="1" max="1" width="3" customWidth="1"/>
    <col min="2" max="2" width="26" customWidth="1"/>
    <col min="3" max="3" width="22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5">
      <c r="B5" s="3" t="s">
        <v>2</v>
      </c>
      <c r="F5" s="3" t="s">
        <v>3</v>
      </c>
    </row>
    <row r="6">
      <c r="B6" s="4" t="s">
        <v>4</v>
      </c>
      <c r="C6" s="5" t="s">
        <v>5</v>
      </c>
      <c r="F6" s="4" t="s">
        <v>6</v>
      </c>
      <c r="G6" s="11">
        <f>='Income Statement'!J10</f>
      </c>
    </row>
    <row r="7">
      <c r="B7" s="4" t="s">
        <v>7</v>
      </c>
      <c r="C7" s="5" t="s">
        <v>8</v>
      </c>
      <c r="F7" s="4" t="s">
        <v>9</v>
      </c>
      <c r="G7" s="11">
        <f>='Income Statement'!J16</f>
      </c>
    </row>
    <row r="8">
      <c r="B8" s="4" t="s">
        <v>10</v>
      </c>
      <c r="C8" s="5" t="s">
        <v>11</v>
      </c>
      <c r="F8" s="4" t="s">
        <v>12</v>
      </c>
      <c r="G8" s="11">
        <f>='Income Statement'!J21</f>
      </c>
    </row>
    <row r="9">
      <c r="B9" s="4" t="s">
        <v>13</v>
      </c>
      <c r="C9" s="6">
        <v>947.5</v>
      </c>
      <c r="F9" s="4" t="s">
        <v>14</v>
      </c>
      <c r="G9" s="12">
        <f>='Income Statement'!J22</f>
      </c>
    </row>
    <row r="10">
      <c r="B10" s="4" t="s">
        <v>15</v>
      </c>
      <c r="C10" s="7">
        <v>445</v>
      </c>
      <c r="F10" s="4" t="s">
        <v>16</v>
      </c>
      <c r="G10" s="13">
        <f>=(('Income Statement'!J10/'Income Statement'!E10)^(1/5))-1</f>
      </c>
    </row>
    <row r="11">
      <c r="B11" s="4" t="s">
        <v>17</v>
      </c>
      <c r="C11" s="8">
        <v>420200</v>
      </c>
      <c r="F11" s="4" t="s">
        <v>18</v>
      </c>
      <c r="G11" s="13">
        <f>=(('Income Statement'!J22/'Income Statement'!E22)^(1/5))-1</f>
      </c>
    </row>
    <row r="12">
      <c r="B12" s="4" t="s">
        <v>19</v>
      </c>
      <c r="C12" s="8">
        <v>8230</v>
      </c>
    </row>
    <row r="13">
      <c r="B13" s="4" t="s">
        <v>20</v>
      </c>
      <c r="C13" s="8">
        <v>11770</v>
      </c>
    </row>
    <row r="16">
      <c r="B16" s="3" t="s">
        <v>21</v>
      </c>
    </row>
    <row r="17">
      <c r="B17" s="14" t="s">
        <v>22</v>
      </c>
    </row>
    <row r="19">
      <c r="B19" s="14" t="s">
        <v>23</v>
      </c>
    </row>
    <row r="21">
      <c r="B21" s="14" t="s">
        <v>24</v>
      </c>
    </row>
    <row r="23">
      <c r="B23" s="14" t="s">
        <v>25</v>
      </c>
    </row>
    <row r="25">
      <c r="B25" s="14" t="s">
        <v>26</v>
      </c>
    </row>
    <row r="27">
      <c r="B27" s="14" t="s">
        <v>27</v>
      </c>
    </row>
    <row r="30">
      <c r="B30" s="3" t="s">
        <v>28</v>
      </c>
    </row>
    <row r="31">
      <c r="B31" s="15" t="s">
        <v>29</v>
      </c>
      <c r="C31" s="4" t="s">
        <v>30</v>
      </c>
    </row>
    <row r="32">
      <c r="B32" s="3" t="s">
        <v>31</v>
      </c>
      <c r="C32" s="4" t="s">
        <v>32</v>
      </c>
    </row>
    <row r="33">
      <c r="B33" s="9" t="s">
        <v>33</v>
      </c>
      <c r="C33" s="4" t="s">
        <v>34</v>
      </c>
    </row>
    <row r="34">
      <c r="B34" s="3" t="s">
        <v>35</v>
      </c>
      <c r="C34" s="4" t="s">
        <v>36</v>
      </c>
    </row>
    <row r="37">
      <c r="B37" s="3" t="s">
        <v>37</v>
      </c>
    </row>
    <row r="38">
      <c r="B38" s="3" t="s">
        <v>38</v>
      </c>
      <c r="C38" s="4" t="s">
        <v>39</v>
      </c>
    </row>
    <row r="39">
      <c r="B39" s="3" t="s">
        <v>40</v>
      </c>
      <c r="C39" s="4" t="s">
        <v>41</v>
      </c>
    </row>
    <row r="40">
      <c r="B40" s="3" t="s">
        <v>42</v>
      </c>
      <c r="C40" s="4" t="s">
        <v>43</v>
      </c>
    </row>
    <row r="41">
      <c r="B41" s="3" t="s">
        <v>44</v>
      </c>
      <c r="C41" s="4" t="s">
        <v>45</v>
      </c>
    </row>
    <row r="42">
      <c r="B42" s="3" t="s">
        <v>46</v>
      </c>
      <c r="C42" s="4" t="s">
        <v>47</v>
      </c>
    </row>
    <row r="43">
      <c r="B43" s="3" t="s">
        <v>48</v>
      </c>
      <c r="C43" s="4" t="s">
        <v>49</v>
      </c>
    </row>
  </sheetData>
  <mergeCells>
    <mergeCell ref="B17:I17"/>
    <mergeCell ref="B19:I19"/>
    <mergeCell ref="B21:I21"/>
    <mergeCell ref="B23:I23"/>
    <mergeCell ref="B25:I25"/>
    <mergeCell ref="B27:I27"/>
    <mergeCell ref="C31:I31"/>
    <mergeCell ref="C32:I32"/>
    <mergeCell ref="C33:I33"/>
    <mergeCell ref="C34:I34"/>
    <mergeCell ref="C38:I38"/>
    <mergeCell ref="C39:I39"/>
    <mergeCell ref="C40:I40"/>
    <mergeCell ref="C41:I41"/>
    <mergeCell ref="C42:I42"/>
    <mergeCell ref="C43:I43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K36"/>
  <sheetViews>
    <sheetView workbookViewId="0" showGridLines="0" zoomScale="100" tabSelected="0"/>
  </sheetViews>
  <sheetFormatPr defaultRowHeight="15"/>
  <cols>
    <col min="1" max="1" width="34" customWidth="1"/>
    <col min="2" max="2" width="12" customWidth="1"/>
    <col min="3" max="3" width="12" customWidth="1"/>
    <col min="4" max="4" width="12" customWidth="1"/>
    <col min="5" max="5" width="12" customWidth="1"/>
    <col min="6" max="6" width="12" customWidth="1"/>
    <col min="7" max="7" width="12" customWidth="1"/>
    <col min="8" max="8" width="12" customWidth="1"/>
    <col min="9" max="9" width="12" customWidth="1"/>
    <col min="10" max="10" width="12" customWidth="1"/>
    <col min="11" max="11" width="60" customWidth="1"/>
  </cols>
  <sheetData>
    <row r="1">
      <c r="A1" s="1" t="s">
        <v>50</v>
      </c>
    </row>
    <row r="2">
      <c r="A2" s="2" t="s">
        <v>51</v>
      </c>
    </row>
    <row r="4">
      <c r="A4" s="17" t="s">
        <v>52</v>
      </c>
      <c r="B4" s="16" t="s">
        <v>53</v>
      </c>
      <c r="C4" s="16" t="s">
        <v>54</v>
      </c>
      <c r="D4" s="16" t="s">
        <v>55</v>
      </c>
      <c r="E4" s="16" t="s">
        <v>56</v>
      </c>
      <c r="F4" s="16" t="s">
        <v>57</v>
      </c>
      <c r="G4" s="16" t="s">
        <v>58</v>
      </c>
      <c r="H4" s="16" t="s">
        <v>59</v>
      </c>
      <c r="I4" s="16" t="s">
        <v>60</v>
      </c>
      <c r="J4" s="16" t="s">
        <v>61</v>
      </c>
      <c r="K4" s="16" t="s">
        <v>62</v>
      </c>
    </row>
    <row r="6">
      <c r="A6" s="3" t="s">
        <v>63</v>
      </c>
    </row>
    <row r="8">
      <c r="A8" s="4" t="s">
        <v>64</v>
      </c>
      <c r="F8" s="18">
        <v>0.083</v>
      </c>
      <c r="G8" s="18">
        <v>0.08</v>
      </c>
      <c r="H8" s="18">
        <v>0.075</v>
      </c>
      <c r="I8" s="18">
        <v>0.07</v>
      </c>
      <c r="J8" s="18">
        <v>0.065</v>
      </c>
      <c r="K8" s="19" t="s">
        <v>65</v>
      </c>
    </row>
    <row r="9">
      <c r="A9" s="4" t="s">
        <v>66</v>
      </c>
      <c r="F9" s="20">
        <v>0.129</v>
      </c>
      <c r="G9" s="20">
        <v>0.1295</v>
      </c>
      <c r="H9" s="20">
        <v>0.13</v>
      </c>
      <c r="I9" s="20">
        <v>0.1305</v>
      </c>
      <c r="J9" s="20">
        <v>0.131</v>
      </c>
      <c r="K9" s="19" t="s">
        <v>67</v>
      </c>
    </row>
    <row r="10">
      <c r="A10" s="4" t="s">
        <v>68</v>
      </c>
      <c r="F10" s="20">
        <v>0.09</v>
      </c>
      <c r="G10" s="20">
        <v>0.0895</v>
      </c>
      <c r="H10" s="20">
        <v>0.089</v>
      </c>
      <c r="I10" s="20">
        <v>0.0885</v>
      </c>
      <c r="J10" s="20">
        <v>0.088</v>
      </c>
      <c r="K10" s="19" t="s">
        <v>69</v>
      </c>
    </row>
    <row r="11">
      <c r="A11" s="4" t="s">
        <v>70</v>
      </c>
      <c r="F11" s="20">
        <v>0.0088</v>
      </c>
      <c r="G11" s="20">
        <v>0.0089</v>
      </c>
      <c r="H11" s="20">
        <v>0.009</v>
      </c>
      <c r="I11" s="20">
        <v>0.0091</v>
      </c>
      <c r="J11" s="20">
        <v>0.0092</v>
      </c>
      <c r="K11" s="19" t="s">
        <v>71</v>
      </c>
    </row>
    <row r="12">
      <c r="A12" s="4" t="s">
        <v>72</v>
      </c>
      <c r="F12" s="18">
        <v>0.25</v>
      </c>
      <c r="G12" s="18">
        <v>0.25</v>
      </c>
      <c r="H12" s="18">
        <v>0.25</v>
      </c>
      <c r="I12" s="18">
        <v>0.25</v>
      </c>
      <c r="J12" s="18">
        <v>0.25</v>
      </c>
      <c r="K12" s="19" t="s">
        <v>73</v>
      </c>
    </row>
    <row r="13">
      <c r="A13" s="4" t="s">
        <v>74</v>
      </c>
      <c r="F13" s="8">
        <v>155</v>
      </c>
      <c r="G13" s="8">
        <v>155</v>
      </c>
      <c r="H13" s="8">
        <v>155</v>
      </c>
      <c r="I13" s="8">
        <v>155</v>
      </c>
      <c r="J13" s="8">
        <v>150</v>
      </c>
      <c r="K13" s="19" t="s">
        <v>75</v>
      </c>
    </row>
    <row r="14">
      <c r="A14" s="4" t="s">
        <v>76</v>
      </c>
      <c r="F14" s="8">
        <v>620</v>
      </c>
      <c r="G14" s="8">
        <v>660</v>
      </c>
      <c r="H14" s="8">
        <v>700</v>
      </c>
      <c r="I14" s="8">
        <v>740</v>
      </c>
      <c r="J14" s="8">
        <v>780</v>
      </c>
      <c r="K14" s="19" t="s">
        <v>77</v>
      </c>
    </row>
    <row r="16">
      <c r="A16" s="3" t="s">
        <v>78</v>
      </c>
    </row>
    <row r="18">
      <c r="A18" s="4" t="s">
        <v>79</v>
      </c>
      <c r="F18" s="20">
        <v>0.02</v>
      </c>
      <c r="G18" s="20">
        <v>0.02</v>
      </c>
      <c r="H18" s="20">
        <v>0.021</v>
      </c>
      <c r="I18" s="20">
        <v>0.021</v>
      </c>
      <c r="J18" s="20">
        <v>0.021</v>
      </c>
      <c r="K18" s="19" t="s">
        <v>80</v>
      </c>
    </row>
    <row r="19">
      <c r="A19" s="4" t="s">
        <v>81</v>
      </c>
      <c r="F19" s="18">
        <v>0.27</v>
      </c>
      <c r="G19" s="18">
        <v>0.27</v>
      </c>
      <c r="H19" s="18">
        <v>0.27</v>
      </c>
      <c r="I19" s="18">
        <v>0.27</v>
      </c>
      <c r="J19" s="18">
        <v>0.27</v>
      </c>
      <c r="K19" s="19" t="s">
        <v>82</v>
      </c>
    </row>
    <row r="20">
      <c r="A20" s="4" t="s">
        <v>83</v>
      </c>
      <c r="F20" s="8">
        <v>1300</v>
      </c>
      <c r="G20" s="8">
        <v>1300</v>
      </c>
      <c r="H20" s="8">
        <v>1300</v>
      </c>
      <c r="I20" s="8">
        <v>1300</v>
      </c>
      <c r="J20" s="8">
        <v>1300</v>
      </c>
      <c r="K20" s="19" t="s">
        <v>84</v>
      </c>
    </row>
    <row r="21">
      <c r="A21" s="4" t="s">
        <v>15</v>
      </c>
      <c r="F21" s="7">
        <v>445</v>
      </c>
      <c r="G21" s="7">
        <v>445</v>
      </c>
      <c r="H21" s="7">
        <v>445</v>
      </c>
      <c r="I21" s="7">
        <v>445</v>
      </c>
      <c r="J21" s="7">
        <v>445</v>
      </c>
      <c r="K21" s="19" t="s">
        <v>85</v>
      </c>
    </row>
    <row r="22">
      <c r="A22" s="4" t="s">
        <v>86</v>
      </c>
      <c r="F22" s="20">
        <v>0.0031</v>
      </c>
      <c r="G22" s="20">
        <v>0.0031</v>
      </c>
      <c r="H22" s="20">
        <v>0.0031</v>
      </c>
      <c r="I22" s="20">
        <v>0.0031</v>
      </c>
      <c r="J22" s="20">
        <v>0.0031</v>
      </c>
      <c r="K22" s="19" t="s">
        <v>87</v>
      </c>
    </row>
    <row r="24">
      <c r="A24" s="3" t="s">
        <v>88</v>
      </c>
    </row>
    <row r="26">
      <c r="A26" s="4" t="s">
        <v>89</v>
      </c>
      <c r="F26" s="20">
        <v>0.0116</v>
      </c>
      <c r="G26" s="20">
        <v>0.0116</v>
      </c>
      <c r="H26" s="20">
        <v>0.0116</v>
      </c>
      <c r="I26" s="20">
        <v>0.0116</v>
      </c>
      <c r="J26" s="20">
        <v>0.0116</v>
      </c>
      <c r="K26" s="19" t="s">
        <v>90</v>
      </c>
    </row>
    <row r="27">
      <c r="A27" s="4" t="s">
        <v>91</v>
      </c>
      <c r="F27" s="20">
        <v>0.0755</v>
      </c>
      <c r="G27" s="20">
        <v>0.0755</v>
      </c>
      <c r="H27" s="20">
        <v>0.0755</v>
      </c>
      <c r="I27" s="20">
        <v>0.0755</v>
      </c>
      <c r="J27" s="20">
        <v>0.0755</v>
      </c>
      <c r="K27" s="19" t="s">
        <v>92</v>
      </c>
    </row>
    <row r="28">
      <c r="A28" s="4" t="s">
        <v>93</v>
      </c>
      <c r="F28" s="20">
        <v>0.0065</v>
      </c>
      <c r="G28" s="20">
        <v>0.0065</v>
      </c>
      <c r="H28" s="20">
        <v>0.0065</v>
      </c>
      <c r="I28" s="20">
        <v>0.0065</v>
      </c>
      <c r="J28" s="20">
        <v>0.0065</v>
      </c>
      <c r="K28" s="19" t="s">
        <v>94</v>
      </c>
    </row>
    <row r="29">
      <c r="A29" s="4" t="s">
        <v>95</v>
      </c>
      <c r="F29" s="20">
        <v>0.0825</v>
      </c>
      <c r="G29" s="20">
        <v>0.0825</v>
      </c>
      <c r="H29" s="20">
        <v>0.0825</v>
      </c>
      <c r="I29" s="20">
        <v>0.0825</v>
      </c>
      <c r="J29" s="20">
        <v>0.0825</v>
      </c>
      <c r="K29" s="19" t="s">
        <v>96</v>
      </c>
    </row>
    <row r="30">
      <c r="A30" s="4" t="s">
        <v>97</v>
      </c>
      <c r="F30" s="20">
        <v>0.0189</v>
      </c>
      <c r="G30" s="20">
        <v>0.0189</v>
      </c>
      <c r="H30" s="20">
        <v>0.0189</v>
      </c>
      <c r="I30" s="20">
        <v>0.0189</v>
      </c>
      <c r="J30" s="20">
        <v>0.0189</v>
      </c>
      <c r="K30" s="19" t="s">
        <v>98</v>
      </c>
    </row>
    <row r="31">
      <c r="A31" s="4" t="s">
        <v>99</v>
      </c>
      <c r="F31" s="20">
        <v>0.044</v>
      </c>
      <c r="G31" s="20">
        <v>0.044</v>
      </c>
      <c r="H31" s="20">
        <v>0.044</v>
      </c>
      <c r="I31" s="20">
        <v>0.044</v>
      </c>
      <c r="J31" s="20">
        <v>0.044</v>
      </c>
      <c r="K31" s="19" t="s">
        <v>100</v>
      </c>
    </row>
    <row r="32">
      <c r="A32" s="4" t="s">
        <v>101</v>
      </c>
      <c r="F32" s="20">
        <v>0.0148</v>
      </c>
      <c r="G32" s="20">
        <v>0.0148</v>
      </c>
      <c r="H32" s="20">
        <v>0.0148</v>
      </c>
      <c r="I32" s="20">
        <v>0.0148</v>
      </c>
      <c r="J32" s="20">
        <v>0.0148</v>
      </c>
      <c r="K32" s="19" t="s">
        <v>102</v>
      </c>
    </row>
    <row r="33">
      <c r="A33" s="4" t="s">
        <v>103</v>
      </c>
      <c r="F33" s="20">
        <v>0.0186</v>
      </c>
      <c r="G33" s="20">
        <v>0.0186</v>
      </c>
      <c r="H33" s="20">
        <v>0.0186</v>
      </c>
      <c r="I33" s="20">
        <v>0.0186</v>
      </c>
      <c r="J33" s="20">
        <v>0.0186</v>
      </c>
      <c r="K33" s="19" t="s">
        <v>104</v>
      </c>
    </row>
    <row r="34">
      <c r="A34" s="4" t="s">
        <v>105</v>
      </c>
      <c r="F34" s="8">
        <v>1123</v>
      </c>
      <c r="G34" s="8">
        <v>1123</v>
      </c>
      <c r="H34" s="8">
        <v>1123</v>
      </c>
      <c r="I34" s="8">
        <v>1123</v>
      </c>
      <c r="J34" s="8">
        <v>1123</v>
      </c>
      <c r="K34" s="19" t="s">
        <v>106</v>
      </c>
    </row>
    <row r="35">
      <c r="A35" s="4" t="s">
        <v>107</v>
      </c>
      <c r="F35" s="8">
        <v>5713</v>
      </c>
      <c r="G35" s="8">
        <v>5713</v>
      </c>
      <c r="H35" s="8">
        <v>5713</v>
      </c>
      <c r="I35" s="8">
        <v>5713</v>
      </c>
      <c r="J35" s="8">
        <v>5713</v>
      </c>
      <c r="K35" s="19" t="s">
        <v>108</v>
      </c>
    </row>
    <row r="36">
      <c r="A36" s="4" t="s">
        <v>109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19" t="s">
        <v>110</v>
      </c>
    </row>
  </sheetData>
  <mergeCells>
    <mergeCell ref="K8:P8"/>
    <mergeCell ref="K9:P9"/>
    <mergeCell ref="K10:P10"/>
    <mergeCell ref="K11:P11"/>
    <mergeCell ref="K12:P12"/>
    <mergeCell ref="K13:P13"/>
    <mergeCell ref="K14:P14"/>
    <mergeCell ref="K18:P18"/>
    <mergeCell ref="K19:P19"/>
    <mergeCell ref="K20:P20"/>
    <mergeCell ref="K21:P21"/>
    <mergeCell ref="K22:P22"/>
    <mergeCell ref="K26:P26"/>
    <mergeCell ref="K27:P27"/>
    <mergeCell ref="K28:P28"/>
    <mergeCell ref="K29:P29"/>
    <mergeCell ref="K30:P30"/>
    <mergeCell ref="K31:P31"/>
    <mergeCell ref="K32:P32"/>
    <mergeCell ref="K33:P33"/>
    <mergeCell ref="K34:P34"/>
    <mergeCell ref="K35:P35"/>
    <mergeCell ref="K36:P36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J29"/>
  <sheetViews>
    <sheetView workbookViewId="0" showGridLines="0" zoomScale="100" tabSelected="0"/>
  </sheetViews>
  <sheetFormatPr defaultRowHeight="15"/>
  <cols>
    <col min="1" max="1" width="32" customWidth="1"/>
    <col min="2" max="2" width="12" customWidth="1"/>
    <col min="3" max="3" width="12" customWidth="1"/>
    <col min="4" max="4" width="12" customWidth="1"/>
    <col min="5" max="5" width="12" customWidth="1"/>
    <col min="6" max="6" width="12" customWidth="1"/>
    <col min="7" max="7" width="12" customWidth="1"/>
    <col min="8" max="8" width="12" customWidth="1"/>
    <col min="9" max="9" width="12" customWidth="1"/>
    <col min="10" max="10" width="12" customWidth="1"/>
  </cols>
  <sheetData>
    <row r="1">
      <c r="A1" s="1" t="s">
        <v>111</v>
      </c>
    </row>
    <row r="2">
      <c r="A2" s="2" t="s">
        <v>112</v>
      </c>
    </row>
    <row r="4">
      <c r="A4" s="17" t="s">
        <v>52</v>
      </c>
      <c r="B4" s="16" t="s">
        <v>53</v>
      </c>
      <c r="C4" s="16" t="s">
        <v>54</v>
      </c>
      <c r="D4" s="16" t="s">
        <v>55</v>
      </c>
      <c r="E4" s="16" t="s">
        <v>56</v>
      </c>
      <c r="F4" s="16" t="s">
        <v>57</v>
      </c>
      <c r="G4" s="16" t="s">
        <v>58</v>
      </c>
      <c r="H4" s="16" t="s">
        <v>59</v>
      </c>
      <c r="I4" s="16" t="s">
        <v>60</v>
      </c>
      <c r="J4" s="16" t="s">
        <v>61</v>
      </c>
    </row>
    <row r="10">
      <c r="A10" s="3" t="s">
        <v>113</v>
      </c>
      <c r="B10" s="26">
        <v>226954</v>
      </c>
      <c r="C10" s="26">
        <v>242290</v>
      </c>
      <c r="D10" s="26">
        <v>254453</v>
      </c>
      <c r="E10" s="26">
        <v>275235</v>
      </c>
      <c r="F10" s="27">
        <f>=E10*(1+Assumptions!F8)</f>
      </c>
      <c r="G10" s="27">
        <f>=F10*(1+Assumptions!G8)</f>
      </c>
      <c r="H10" s="27">
        <f>=G10*(1+Assumptions!H8)</f>
      </c>
      <c r="I10" s="27">
        <f>=H10*(1+Assumptions!I8)</f>
      </c>
      <c r="J10" s="27">
        <f>=I10*(1+Assumptions!J8)</f>
      </c>
    </row>
    <row r="11">
      <c r="A11" s="4" t="s">
        <v>114</v>
      </c>
      <c r="B11" s="8">
        <v>199382</v>
      </c>
      <c r="C11" s="8">
        <v>212586</v>
      </c>
      <c r="D11" s="8">
        <v>222358</v>
      </c>
      <c r="E11" s="8">
        <v>239886</v>
      </c>
      <c r="F11" s="23">
        <f>=F10*(1-Assumptions!F9)</f>
      </c>
      <c r="G11" s="23">
        <f>=G10*(1-Assumptions!G9)</f>
      </c>
      <c r="H11" s="23">
        <f>=H10*(1-Assumptions!H9)</f>
      </c>
      <c r="I11" s="23">
        <f>=I10*(1-Assumptions!I9)</f>
      </c>
      <c r="J11" s="23">
        <f>=J10*(1-Assumptions!J9)</f>
      </c>
    </row>
    <row r="12">
      <c r="A12" s="3" t="s">
        <v>115</v>
      </c>
      <c r="B12" s="28">
        <f>=B10-B11</f>
      </c>
      <c r="C12" s="28">
        <f>=C10-C11</f>
      </c>
      <c r="D12" s="28">
        <f>=D10-D11</f>
      </c>
      <c r="E12" s="28">
        <f>=E10-E11</f>
      </c>
      <c r="F12" s="28">
        <f>=F10-F11</f>
      </c>
      <c r="G12" s="28">
        <f>=G10-G11</f>
      </c>
      <c r="H12" s="28">
        <f>=H10-H11</f>
      </c>
      <c r="I12" s="28">
        <f>=I10-I11</f>
      </c>
      <c r="J12" s="28">
        <f>=J10-J11</f>
      </c>
    </row>
    <row r="13">
      <c r="A13" s="4" t="s">
        <v>116</v>
      </c>
      <c r="B13" s="8">
        <v>19779</v>
      </c>
      <c r="C13" s="8">
        <v>21590</v>
      </c>
      <c r="D13" s="8">
        <v>22810</v>
      </c>
      <c r="E13" s="8">
        <v>24966</v>
      </c>
      <c r="F13" s="23">
        <f>=F10*Assumptions!F10</f>
      </c>
      <c r="G13" s="23">
        <f>=G10*Assumptions!G10</f>
      </c>
      <c r="H13" s="23">
        <f>=H10*Assumptions!H10</f>
      </c>
      <c r="I13" s="23">
        <f>=I10*Assumptions!I10</f>
      </c>
      <c r="J13" s="23">
        <f>=J10*Assumptions!J10</f>
      </c>
    </row>
    <row r="14">
      <c r="A14" s="3" t="s">
        <v>117</v>
      </c>
      <c r="B14" s="21">
        <f>=B12-B13</f>
      </c>
      <c r="C14" s="21">
        <f>=C12-C13</f>
      </c>
      <c r="D14" s="21">
        <f>=D12-D13</f>
      </c>
      <c r="E14" s="21">
        <f>=E12-E13</f>
      </c>
      <c r="F14" s="21">
        <f>=F12-F13</f>
      </c>
      <c r="G14" s="21">
        <f>=G12-G13</f>
      </c>
      <c r="H14" s="21">
        <f>=H12-H13</f>
      </c>
      <c r="I14" s="21">
        <f>=I12-I13</f>
      </c>
      <c r="J14" s="21">
        <f>=J12-J13</f>
      </c>
    </row>
    <row r="15">
      <c r="A15" s="4" t="s">
        <v>118</v>
      </c>
      <c r="B15" s="8">
        <v>1900</v>
      </c>
      <c r="C15" s="8">
        <v>2077</v>
      </c>
      <c r="D15" s="8">
        <v>2237</v>
      </c>
      <c r="E15" s="8">
        <v>2426</v>
      </c>
      <c r="F15" s="23">
        <f>=F10*Assumptions!F11</f>
      </c>
      <c r="G15" s="23">
        <f>=G10*Assumptions!G11</f>
      </c>
      <c r="H15" s="23">
        <f>=H10*Assumptions!H11</f>
      </c>
      <c r="I15" s="23">
        <f>=I10*Assumptions!I11</f>
      </c>
      <c r="J15" s="23">
        <f>=J10*Assumptions!J11</f>
      </c>
    </row>
    <row r="16">
      <c r="A16" s="3" t="s">
        <v>119</v>
      </c>
      <c r="B16" s="21">
        <f>=B14+B15</f>
      </c>
      <c r="C16" s="21">
        <f>=C14+C15</f>
      </c>
      <c r="D16" s="21">
        <f>=D14+D15</f>
      </c>
      <c r="E16" s="21">
        <f>=E14+E15</f>
      </c>
      <c r="F16" s="21">
        <f>=F14+F15</f>
      </c>
      <c r="G16" s="21">
        <f>=G14+G15</f>
      </c>
      <c r="H16" s="21">
        <f>=H14+H15</f>
      </c>
      <c r="I16" s="21">
        <f>=I14+I15</f>
      </c>
      <c r="J16" s="21">
        <f>=J14+J15</f>
      </c>
    </row>
    <row r="17">
      <c r="A17" s="4" t="s">
        <v>120</v>
      </c>
      <c r="B17" s="8">
        <v>-158</v>
      </c>
      <c r="C17" s="8">
        <v>-160</v>
      </c>
      <c r="D17" s="8">
        <v>-169</v>
      </c>
      <c r="E17" s="8">
        <v>-154</v>
      </c>
      <c r="F17" s="23">
        <f>=Assumptions!F13*-1</f>
      </c>
      <c r="G17" s="23">
        <f>=Assumptions!G13*-1</f>
      </c>
      <c r="H17" s="23">
        <f>=Assumptions!H13*-1</f>
      </c>
      <c r="I17" s="23">
        <f>=Assumptions!I13*-1</f>
      </c>
      <c r="J17" s="23">
        <f>=Assumptions!J13*-1</f>
      </c>
    </row>
    <row r="18">
      <c r="A18" s="4" t="s">
        <v>121</v>
      </c>
      <c r="B18" s="8">
        <v>205</v>
      </c>
      <c r="C18" s="8">
        <v>533</v>
      </c>
      <c r="D18" s="8">
        <v>624</v>
      </c>
      <c r="E18" s="8">
        <v>589</v>
      </c>
      <c r="F18" s="23">
        <f>=Assumptions!F14</f>
      </c>
      <c r="G18" s="23">
        <f>=Assumptions!G14</f>
      </c>
      <c r="H18" s="23">
        <f>=Assumptions!H14</f>
      </c>
      <c r="I18" s="23">
        <f>=Assumptions!I14</f>
      </c>
      <c r="J18" s="23">
        <f>=Assumptions!J14</f>
      </c>
    </row>
    <row r="19">
      <c r="A19" s="3" t="s">
        <v>122</v>
      </c>
      <c r="B19" s="21">
        <f>=B14+B17+B18</f>
      </c>
      <c r="C19" s="21">
        <f>=C14+C17+C18</f>
      </c>
      <c r="D19" s="21">
        <f>=D14+D17+D18</f>
      </c>
      <c r="E19" s="21">
        <f>=E14+E17+E18</f>
      </c>
      <c r="F19" s="21">
        <f>=F14+F17+F18</f>
      </c>
      <c r="G19" s="21">
        <f>=G14+G17+G18</f>
      </c>
      <c r="H19" s="21">
        <f>=H14+H17+H18</f>
      </c>
      <c r="I19" s="21">
        <f>=I14+I17+I18</f>
      </c>
      <c r="J19" s="21">
        <f>=J14+J17+J18</f>
      </c>
    </row>
    <row r="20">
      <c r="A20" s="4" t="s">
        <v>123</v>
      </c>
      <c r="B20" s="8">
        <v>1925</v>
      </c>
      <c r="C20" s="8">
        <v>2195</v>
      </c>
      <c r="D20" s="8">
        <v>2373</v>
      </c>
      <c r="E20" s="8">
        <v>2719</v>
      </c>
      <c r="F20" s="23">
        <f>=F19*Assumptions!F12</f>
      </c>
      <c r="G20" s="23">
        <f>=G19*Assumptions!G12</f>
      </c>
      <c r="H20" s="23">
        <f>=H19*Assumptions!H12</f>
      </c>
      <c r="I20" s="23">
        <f>=I19*Assumptions!I12</f>
      </c>
      <c r="J20" s="23">
        <f>=J19*Assumptions!J12</f>
      </c>
    </row>
    <row r="21">
      <c r="A21" s="3" t="s">
        <v>124</v>
      </c>
      <c r="B21" s="29">
        <f>=B19-B20</f>
      </c>
      <c r="C21" s="29">
        <f>=C19-C20</f>
      </c>
      <c r="D21" s="29">
        <f>=D19-D20</f>
      </c>
      <c r="E21" s="29">
        <f>=E19-E20</f>
      </c>
      <c r="F21" s="29">
        <f>=F19-F20</f>
      </c>
      <c r="G21" s="29">
        <f>=G19-G20</f>
      </c>
      <c r="H21" s="29">
        <f>=H19-H20</f>
      </c>
      <c r="I21" s="29">
        <f>=I19-I20</f>
      </c>
      <c r="J21" s="29">
        <f>=J19-J20</f>
      </c>
    </row>
    <row r="22">
      <c r="A22" s="3" t="s">
        <v>125</v>
      </c>
      <c r="B22" s="22">
        <v>13.14</v>
      </c>
      <c r="C22" s="22">
        <v>14.16</v>
      </c>
      <c r="D22" s="22">
        <v>16.56</v>
      </c>
      <c r="E22" s="22">
        <v>18.21</v>
      </c>
      <c r="F22" s="25">
        <f>=F21/F23</f>
      </c>
      <c r="G22" s="25">
        <f>=G21/G23</f>
      </c>
      <c r="H22" s="25">
        <f>=H21/H23</f>
      </c>
      <c r="I22" s="25">
        <f>=I21/I23</f>
      </c>
      <c r="J22" s="25">
        <f>=J21/J23</f>
      </c>
    </row>
    <row r="23">
      <c r="A23" s="4" t="s">
        <v>15</v>
      </c>
      <c r="B23" s="7">
        <v>445</v>
      </c>
      <c r="C23" s="7">
        <v>444</v>
      </c>
      <c r="D23" s="7">
        <v>445</v>
      </c>
      <c r="E23" s="7">
        <v>445</v>
      </c>
      <c r="F23" s="24">
        <f>=Assumptions!F21</f>
      </c>
      <c r="G23" s="24">
        <f>=Assumptions!G21</f>
      </c>
      <c r="H23" s="24">
        <f>=Assumptions!H21</f>
      </c>
      <c r="I23" s="24">
        <f>=Assumptions!I21</f>
      </c>
      <c r="J23" s="24">
        <f>=Assumptions!J21</f>
      </c>
    </row>
    <row r="25">
      <c r="A25" s="3" t="s">
        <v>126</v>
      </c>
    </row>
    <row r="26">
      <c r="A26" s="2" t="s">
        <v>64</v>
      </c>
      <c r="C26" s="30">
        <f>=C10/B10-1</f>
      </c>
      <c r="D26" s="30">
        <f>=D10/C10-1</f>
      </c>
      <c r="E26" s="30">
        <f>=E10/D10-1</f>
      </c>
      <c r="F26" s="30">
        <f>=F10/E10-1</f>
      </c>
      <c r="G26" s="30">
        <f>=G10/F10-1</f>
      </c>
      <c r="H26" s="30">
        <f>=H10/G10-1</f>
      </c>
      <c r="I26" s="30">
        <f>=I10/H10-1</f>
      </c>
      <c r="J26" s="30">
        <f>=J10/I10-1</f>
      </c>
    </row>
    <row r="27">
      <c r="A27" s="2" t="s">
        <v>66</v>
      </c>
      <c r="C27" s="30">
        <f>=C12/C10</f>
      </c>
      <c r="D27" s="30">
        <f>=D12/D10</f>
      </c>
      <c r="E27" s="30">
        <f>=E12/E10</f>
      </c>
      <c r="F27" s="30">
        <f>=F12/F10</f>
      </c>
      <c r="G27" s="30">
        <f>=G12/G10</f>
      </c>
      <c r="H27" s="30">
        <f>=H12/H10</f>
      </c>
      <c r="I27" s="30">
        <f>=I12/I10</f>
      </c>
      <c r="J27" s="30">
        <f>=J12/J10</f>
      </c>
    </row>
    <row r="28">
      <c r="A28" s="2" t="s">
        <v>127</v>
      </c>
      <c r="C28" s="30">
        <f>=C14/C10</f>
      </c>
      <c r="D28" s="30">
        <f>=D14/D10</f>
      </c>
      <c r="E28" s="30">
        <f>=E14/E10</f>
      </c>
      <c r="F28" s="30">
        <f>=F14/F10</f>
      </c>
      <c r="G28" s="30">
        <f>=G14/G10</f>
      </c>
      <c r="H28" s="30">
        <f>=H14/H10</f>
      </c>
      <c r="I28" s="30">
        <f>=I14/I10</f>
      </c>
      <c r="J28" s="30">
        <f>=J14/J10</f>
      </c>
    </row>
    <row r="29">
      <c r="A29" s="2" t="s">
        <v>128</v>
      </c>
      <c r="C29" s="30">
        <f>=C21/C10</f>
      </c>
      <c r="D29" s="30">
        <f>=D21/D10</f>
      </c>
      <c r="E29" s="30">
        <f>=E21/E10</f>
      </c>
      <c r="F29" s="30">
        <f>=F21/F10</f>
      </c>
      <c r="G29" s="30">
        <f>=G21/G10</f>
      </c>
      <c r="H29" s="30">
        <f>=H21/H10</f>
      </c>
      <c r="I29" s="30">
        <f>=I21/I10</f>
      </c>
      <c r="J29" s="30">
        <f>=J21/J10</f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J33"/>
  <sheetViews>
    <sheetView workbookViewId="0" showGridLines="0" zoomScale="100" tabSelected="0"/>
  </sheetViews>
  <sheetFormatPr defaultRowHeight="15"/>
  <cols>
    <col min="1" max="1" width="34" customWidth="1"/>
    <col min="2" max="2" width="12" customWidth="1"/>
    <col min="3" max="3" width="12" customWidth="1"/>
    <col min="4" max="4" width="12" customWidth="1"/>
    <col min="5" max="5" width="12" customWidth="1"/>
    <col min="6" max="6" width="12" customWidth="1"/>
    <col min="7" max="7" width="12" customWidth="1"/>
    <col min="8" max="8" width="12" customWidth="1"/>
    <col min="9" max="9" width="12" customWidth="1"/>
    <col min="10" max="10" width="12" customWidth="1"/>
  </cols>
  <sheetData>
    <row r="1">
      <c r="A1" s="1" t="s">
        <v>129</v>
      </c>
    </row>
    <row r="2">
      <c r="A2" s="2" t="s">
        <v>130</v>
      </c>
    </row>
    <row r="4">
      <c r="A4" s="17" t="s">
        <v>52</v>
      </c>
      <c r="B4" s="16" t="s">
        <v>53</v>
      </c>
      <c r="C4" s="16" t="s">
        <v>54</v>
      </c>
      <c r="D4" s="16" t="s">
        <v>55</v>
      </c>
      <c r="E4" s="16" t="s">
        <v>56</v>
      </c>
      <c r="F4" s="16" t="s">
        <v>57</v>
      </c>
      <c r="G4" s="16" t="s">
        <v>58</v>
      </c>
      <c r="H4" s="16" t="s">
        <v>59</v>
      </c>
      <c r="I4" s="16" t="s">
        <v>60</v>
      </c>
      <c r="J4" s="16" t="s">
        <v>61</v>
      </c>
    </row>
    <row r="8">
      <c r="A8" s="3" t="s">
        <v>131</v>
      </c>
    </row>
    <row r="9">
      <c r="A9" s="4" t="s">
        <v>132</v>
      </c>
      <c r="B9" s="8">
        <v>10203</v>
      </c>
      <c r="C9" s="8">
        <v>13700</v>
      </c>
      <c r="D9" s="8">
        <v>9906</v>
      </c>
      <c r="E9" s="8">
        <v>14161</v>
      </c>
      <c r="F9" s="23">
        <f>='Cash Flow Statement'!F28</f>
      </c>
      <c r="G9" s="23">
        <f>='Cash Flow Statement'!G28</f>
      </c>
      <c r="H9" s="23">
        <f>='Cash Flow Statement'!H28</f>
      </c>
      <c r="I9" s="23">
        <f>='Cash Flow Statement'!I28</f>
      </c>
      <c r="J9" s="23">
        <f>='Cash Flow Statement'!J28</f>
      </c>
    </row>
    <row r="10">
      <c r="A10" s="4" t="s">
        <v>133</v>
      </c>
      <c r="B10" s="8">
        <v>846</v>
      </c>
      <c r="C10" s="8">
        <v>1534</v>
      </c>
      <c r="D10" s="8">
        <v>1238</v>
      </c>
      <c r="E10" s="8">
        <v>1123</v>
      </c>
      <c r="F10" s="23">
        <f>=Assumptions!F34</f>
      </c>
      <c r="G10" s="23">
        <f>=Assumptions!G34</f>
      </c>
      <c r="H10" s="23">
        <f>=Assumptions!H34</f>
      </c>
      <c r="I10" s="23">
        <f>=Assumptions!I34</f>
      </c>
      <c r="J10" s="23">
        <f>=Assumptions!J34</f>
      </c>
    </row>
    <row r="11">
      <c r="A11" s="4" t="s">
        <v>134</v>
      </c>
      <c r="B11" s="8">
        <v>2241</v>
      </c>
      <c r="C11" s="8">
        <v>2285</v>
      </c>
      <c r="D11" s="8">
        <v>2721</v>
      </c>
      <c r="E11" s="8">
        <v>3203</v>
      </c>
      <c r="F11" s="23">
        <f>='Income Statement'!F10*Assumptions!F26</f>
      </c>
      <c r="G11" s="23">
        <f>='Income Statement'!G10*Assumptions!G26</f>
      </c>
      <c r="H11" s="23">
        <f>='Income Statement'!H10*Assumptions!H26</f>
      </c>
      <c r="I11" s="23">
        <f>='Income Statement'!I10*Assumptions!I26</f>
      </c>
      <c r="J11" s="23">
        <f>='Income Statement'!J10*Assumptions!J26</f>
      </c>
    </row>
    <row r="12">
      <c r="A12" s="4" t="s">
        <v>135</v>
      </c>
      <c r="B12" s="8">
        <v>17907</v>
      </c>
      <c r="C12" s="8">
        <v>16651</v>
      </c>
      <c r="D12" s="8">
        <v>18647</v>
      </c>
      <c r="E12" s="8">
        <v>18116</v>
      </c>
      <c r="F12" s="23">
        <f>='Income Statement'!F11*Assumptions!F27</f>
      </c>
      <c r="G12" s="23">
        <f>='Income Statement'!G11*Assumptions!G27</f>
      </c>
      <c r="H12" s="23">
        <f>='Income Statement'!H11*Assumptions!H27</f>
      </c>
      <c r="I12" s="23">
        <f>='Income Statement'!I11*Assumptions!I27</f>
      </c>
      <c r="J12" s="23">
        <f>='Income Statement'!J11*Assumptions!J27</f>
      </c>
    </row>
    <row r="13">
      <c r="A13" s="4" t="s">
        <v>136</v>
      </c>
      <c r="B13" s="8">
        <v>1499</v>
      </c>
      <c r="C13" s="8">
        <v>1709</v>
      </c>
      <c r="D13" s="8">
        <v>1734</v>
      </c>
      <c r="E13" s="8">
        <v>1777</v>
      </c>
      <c r="F13" s="23">
        <f>='Income Statement'!F10*Assumptions!F28</f>
      </c>
      <c r="G13" s="23">
        <f>='Income Statement'!G10*Assumptions!G28</f>
      </c>
      <c r="H13" s="23">
        <f>='Income Statement'!H10*Assumptions!H28</f>
      </c>
      <c r="I13" s="23">
        <f>='Income Statement'!I10*Assumptions!I28</f>
      </c>
      <c r="J13" s="23">
        <f>='Income Statement'!J10*Assumptions!J28</f>
      </c>
    </row>
    <row r="14">
      <c r="A14" s="3" t="s">
        <v>137</v>
      </c>
      <c r="B14" s="28">
        <f>=SUM(B9:B13)</f>
      </c>
      <c r="C14" s="28">
        <f>=SUM(C9:C13)</f>
      </c>
      <c r="D14" s="28">
        <f>=SUM(D9:D13)</f>
      </c>
      <c r="E14" s="28">
        <f>=SUM(E9:E13)</f>
      </c>
      <c r="F14" s="28">
        <f>=SUM(F9:F13)</f>
      </c>
      <c r="G14" s="28">
        <f>=SUM(G9:G13)</f>
      </c>
      <c r="H14" s="28">
        <f>=SUM(H9:H13)</f>
      </c>
      <c r="I14" s="28">
        <f>=SUM(I9:I13)</f>
      </c>
      <c r="J14" s="28">
        <f>=SUM(J9:J13)</f>
      </c>
    </row>
    <row r="15">
      <c r="A15" s="4" t="s">
        <v>138</v>
      </c>
      <c r="B15" s="8">
        <v>27420</v>
      </c>
      <c r="C15" s="8">
        <v>29397</v>
      </c>
      <c r="D15" s="8">
        <v>31649</v>
      </c>
      <c r="E15" s="8">
        <v>34634</v>
      </c>
      <c r="F15" s="23">
        <f>=E15-'Cash Flow Statement'!F16-'Income Statement'!F15</f>
      </c>
      <c r="G15" s="23">
        <f>=F15-'Cash Flow Statement'!G16-'Income Statement'!G15</f>
      </c>
      <c r="H15" s="23">
        <f>=G15-'Cash Flow Statement'!H16-'Income Statement'!H15</f>
      </c>
      <c r="I15" s="23">
        <f>=H15-'Cash Flow Statement'!I16-'Income Statement'!I15</f>
      </c>
      <c r="J15" s="23">
        <f>=I15-'Cash Flow Statement'!J16-'Income Statement'!J15</f>
      </c>
    </row>
    <row r="16">
      <c r="A16" s="4" t="s">
        <v>139</v>
      </c>
      <c r="B16" s="8">
        <v>4050</v>
      </c>
      <c r="C16" s="8">
        <v>3718</v>
      </c>
      <c r="D16" s="8">
        <v>3936</v>
      </c>
      <c r="E16" s="8">
        <v>4085</v>
      </c>
      <c r="F16" s="23">
        <f>='Income Statement'!F10*Assumptions!F32</f>
      </c>
      <c r="G16" s="23">
        <f>='Income Statement'!G10*Assumptions!G32</f>
      </c>
      <c r="H16" s="23">
        <f>='Income Statement'!H10*Assumptions!H32</f>
      </c>
      <c r="I16" s="23">
        <f>='Income Statement'!I10*Assumptions!I32</f>
      </c>
      <c r="J16" s="23">
        <f>='Income Statement'!J10*Assumptions!J32</f>
      </c>
    </row>
    <row r="17">
      <c r="A17" s="3" t="s">
        <v>140</v>
      </c>
      <c r="B17" s="32">
        <f>=B14+B15+B16</f>
      </c>
      <c r="C17" s="32">
        <f>=C14+C15+C16</f>
      </c>
      <c r="D17" s="32">
        <f>=D14+D15+D16</f>
      </c>
      <c r="E17" s="32">
        <f>=E14+E15+E16</f>
      </c>
      <c r="F17" s="32">
        <f>=F14+F15+F16</f>
      </c>
      <c r="G17" s="32">
        <f>=G14+G15+G16</f>
      </c>
      <c r="H17" s="32">
        <f>=H14+H15+H16</f>
      </c>
      <c r="I17" s="32">
        <f>=I14+I15+I16</f>
      </c>
      <c r="J17" s="32">
        <f>=J14+J15+J16</f>
      </c>
    </row>
    <row r="19">
      <c r="A19" s="3" t="s">
        <v>141</v>
      </c>
    </row>
    <row r="20">
      <c r="A20" s="4" t="s">
        <v>142</v>
      </c>
      <c r="B20" s="8">
        <v>17848</v>
      </c>
      <c r="C20" s="8">
        <v>17483</v>
      </c>
      <c r="D20" s="8">
        <v>19421</v>
      </c>
      <c r="E20" s="8">
        <v>19783</v>
      </c>
      <c r="F20" s="23">
        <f>='Income Statement'!F11*Assumptions!F29</f>
      </c>
      <c r="G20" s="23">
        <f>='Income Statement'!G11*Assumptions!G29</f>
      </c>
      <c r="H20" s="23">
        <f>='Income Statement'!H11*Assumptions!H29</f>
      </c>
      <c r="I20" s="23">
        <f>='Income Statement'!I11*Assumptions!I29</f>
      </c>
      <c r="J20" s="23">
        <f>='Income Statement'!J11*Assumptions!J29</f>
      </c>
    </row>
    <row r="21">
      <c r="A21" s="4" t="s">
        <v>143</v>
      </c>
      <c r="B21" s="8">
        <v>4381</v>
      </c>
      <c r="C21" s="8">
        <v>4278</v>
      </c>
      <c r="D21" s="8">
        <v>4794</v>
      </c>
      <c r="E21" s="8">
        <v>5205</v>
      </c>
      <c r="F21" s="23">
        <f>='Income Statement'!F10*Assumptions!F30</f>
      </c>
      <c r="G21" s="23">
        <f>='Income Statement'!G10*Assumptions!G30</f>
      </c>
      <c r="H21" s="23">
        <f>='Income Statement'!H10*Assumptions!H30</f>
      </c>
      <c r="I21" s="23">
        <f>='Income Statement'!I10*Assumptions!I30</f>
      </c>
      <c r="J21" s="23">
        <f>='Income Statement'!J10*Assumptions!J30</f>
      </c>
    </row>
    <row r="22">
      <c r="A22" s="4" t="s">
        <v>144</v>
      </c>
      <c r="B22" s="8">
        <v>73</v>
      </c>
      <c r="C22" s="8">
        <v>1081</v>
      </c>
      <c r="D22" s="8">
        <v>0</v>
      </c>
      <c r="E22" s="8">
        <v>0</v>
      </c>
      <c r="F22" s="23">
        <f>=Assumptions!F36</f>
      </c>
      <c r="G22" s="23">
        <f>=Assumptions!G36</f>
      </c>
      <c r="H22" s="23">
        <f>=Assumptions!H36</f>
      </c>
      <c r="I22" s="23">
        <f>=Assumptions!I36</f>
      </c>
      <c r="J22" s="23">
        <f>=Assumptions!J36</f>
      </c>
    </row>
    <row r="23">
      <c r="A23" s="4" t="s">
        <v>145</v>
      </c>
      <c r="B23" s="8">
        <v>9696</v>
      </c>
      <c r="C23" s="8">
        <v>10741</v>
      </c>
      <c r="D23" s="8">
        <v>11249</v>
      </c>
      <c r="E23" s="8">
        <v>12120</v>
      </c>
      <c r="F23" s="23">
        <f>='Income Statement'!F10*Assumptions!F31</f>
      </c>
      <c r="G23" s="23">
        <f>='Income Statement'!G10*Assumptions!G31</f>
      </c>
      <c r="H23" s="23">
        <f>='Income Statement'!H10*Assumptions!H31</f>
      </c>
      <c r="I23" s="23">
        <f>='Income Statement'!I10*Assumptions!I31</f>
      </c>
      <c r="J23" s="23">
        <f>='Income Statement'!J10*Assumptions!J31</f>
      </c>
    </row>
    <row r="24">
      <c r="A24" s="3" t="s">
        <v>146</v>
      </c>
      <c r="B24" s="28">
        <f>=SUM(B20:B23)</f>
      </c>
      <c r="C24" s="28">
        <f>=SUM(C20:C23)</f>
      </c>
      <c r="D24" s="28">
        <f>=SUM(D20:D23)</f>
      </c>
      <c r="E24" s="28">
        <f>=SUM(E20:E23)</f>
      </c>
      <c r="F24" s="28">
        <f>=SUM(F20:F23)</f>
      </c>
      <c r="G24" s="28">
        <f>=SUM(G20:G23)</f>
      </c>
      <c r="H24" s="28">
        <f>=SUM(H20:H23)</f>
      </c>
      <c r="I24" s="28">
        <f>=SUM(I20:I23)</f>
      </c>
      <c r="J24" s="28">
        <f>=SUM(J20:J23)</f>
      </c>
    </row>
    <row r="25">
      <c r="A25" s="4" t="s">
        <v>147</v>
      </c>
      <c r="B25" s="8">
        <v>6484</v>
      </c>
      <c r="C25" s="8">
        <v>5377</v>
      </c>
      <c r="D25" s="8">
        <v>5794</v>
      </c>
      <c r="E25" s="8">
        <v>5713</v>
      </c>
      <c r="F25" s="23">
        <f>=Assumptions!F35</f>
      </c>
      <c r="G25" s="23">
        <f>=Assumptions!G35</f>
      </c>
      <c r="H25" s="23">
        <f>=Assumptions!H35</f>
      </c>
      <c r="I25" s="23">
        <f>=Assumptions!I35</f>
      </c>
      <c r="J25" s="23">
        <f>=Assumptions!J35</f>
      </c>
    </row>
    <row r="26">
      <c r="A26" s="4" t="s">
        <v>148</v>
      </c>
      <c r="B26" s="8">
        <v>5037</v>
      </c>
      <c r="C26" s="8">
        <v>4976</v>
      </c>
      <c r="D26" s="8">
        <v>4951</v>
      </c>
      <c r="E26" s="8">
        <v>5114</v>
      </c>
      <c r="F26" s="23">
        <f>='Income Statement'!F10*Assumptions!F33</f>
      </c>
      <c r="G26" s="23">
        <f>='Income Statement'!G10*Assumptions!G33</f>
      </c>
      <c r="H26" s="23">
        <f>='Income Statement'!H10*Assumptions!H33</f>
      </c>
      <c r="I26" s="23">
        <f>='Income Statement'!I10*Assumptions!I33</f>
      </c>
      <c r="J26" s="23">
        <f>='Income Statement'!J10*Assumptions!J33</f>
      </c>
    </row>
    <row r="27">
      <c r="A27" s="3" t="s">
        <v>149</v>
      </c>
      <c r="B27" s="32">
        <f>=B24+B25+B26</f>
      </c>
      <c r="C27" s="32">
        <f>=C24+C25+C26</f>
      </c>
      <c r="D27" s="32">
        <f>=D24+D25+D26</f>
      </c>
      <c r="E27" s="32">
        <f>=E24+E25+E26</f>
      </c>
      <c r="F27" s="32">
        <f>=F24+F25+F26</f>
      </c>
      <c r="G27" s="32">
        <f>=G24+G25+G26</f>
      </c>
      <c r="H27" s="32">
        <f>=H24+H25+H26</f>
      </c>
      <c r="I27" s="32">
        <f>=I24+I25+I26</f>
      </c>
      <c r="J27" s="32">
        <f>=J24+J25+J26</f>
      </c>
    </row>
    <row r="29">
      <c r="A29" s="3" t="s">
        <v>150</v>
      </c>
    </row>
    <row r="30">
      <c r="A30" s="3" t="s">
        <v>151</v>
      </c>
      <c r="B30" s="31">
        <v>20642</v>
      </c>
      <c r="C30" s="31">
        <v>25058</v>
      </c>
      <c r="D30" s="31">
        <v>23622</v>
      </c>
      <c r="E30" s="31">
        <v>29164</v>
      </c>
      <c r="F30" s="10">
        <f>=E30+'Income Statement'!F21+'Cash Flow Statement'!F20+'Cash Flow Statement'!F21+'Cash Flow Statement'!F11</f>
      </c>
      <c r="G30" s="10">
        <f>=F30+'Income Statement'!G21+'Cash Flow Statement'!G20+'Cash Flow Statement'!G21+'Cash Flow Statement'!G11</f>
      </c>
      <c r="H30" s="10">
        <f>=G30+'Income Statement'!H21+'Cash Flow Statement'!H20+'Cash Flow Statement'!H21+'Cash Flow Statement'!H11</f>
      </c>
      <c r="I30" s="10">
        <f>=H30+'Income Statement'!I21+'Cash Flow Statement'!I20+'Cash Flow Statement'!I21+'Cash Flow Statement'!I11</f>
      </c>
      <c r="J30" s="10">
        <f>=I30+'Income Statement'!J21+'Cash Flow Statement'!J20+'Cash Flow Statement'!J21+'Cash Flow Statement'!J11</f>
      </c>
    </row>
    <row r="32">
      <c r="A32" s="3" t="s">
        <v>152</v>
      </c>
      <c r="B32" s="32">
        <f>=B27+B30</f>
      </c>
      <c r="C32" s="32">
        <f>=C27+C30</f>
      </c>
      <c r="D32" s="32">
        <f>=D27+D30</f>
      </c>
      <c r="E32" s="32">
        <f>=E27+E30</f>
      </c>
      <c r="F32" s="32">
        <f>=F27+F30</f>
      </c>
      <c r="G32" s="32">
        <f>=G27+G30</f>
      </c>
      <c r="H32" s="32">
        <f>=H27+H30</f>
      </c>
      <c r="I32" s="32">
        <f>=I27+I30</f>
      </c>
      <c r="J32" s="32">
        <f>=J27+J30</f>
      </c>
    </row>
    <row r="33">
      <c r="A33" s="2" t="s">
        <v>153</v>
      </c>
      <c r="B33" s="33">
        <f>=B17-B32</f>
      </c>
      <c r="C33" s="33">
        <f>=C17-C32</f>
      </c>
      <c r="D33" s="33">
        <f>=D17-D32</f>
      </c>
      <c r="E33" s="33">
        <f>=E17-E32</f>
      </c>
      <c r="F33" s="33">
        <f>=F17-F32</f>
      </c>
      <c r="G33" s="33">
        <f>=G17-G32</f>
      </c>
      <c r="H33" s="33">
        <f>=H17-H32</f>
      </c>
      <c r="I33" s="33">
        <f>=I17-I32</f>
      </c>
      <c r="J33" s="33">
        <f>=J17-J32</f>
      </c>
    </row>
  </sheetData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J28"/>
  <sheetViews>
    <sheetView workbookViewId="0" showGridLines="0" zoomScale="100" tabSelected="0"/>
  </sheetViews>
  <sheetFormatPr defaultRowHeight="15"/>
  <cols>
    <col min="1" max="1" width="36" customWidth="1"/>
    <col min="2" max="2" width="12" customWidth="1"/>
    <col min="3" max="3" width="12" customWidth="1"/>
    <col min="4" max="4" width="12" customWidth="1"/>
    <col min="5" max="5" width="12" customWidth="1"/>
    <col min="6" max="6" width="12" customWidth="1"/>
    <col min="7" max="7" width="12" customWidth="1"/>
    <col min="8" max="8" width="12" customWidth="1"/>
    <col min="9" max="9" width="12" customWidth="1"/>
    <col min="10" max="10" width="12" customWidth="1"/>
  </cols>
  <sheetData>
    <row r="1">
      <c r="A1" s="1" t="s">
        <v>154</v>
      </c>
    </row>
    <row r="2">
      <c r="A2" s="2" t="s">
        <v>155</v>
      </c>
    </row>
    <row r="4">
      <c r="A4" s="17" t="s">
        <v>52</v>
      </c>
      <c r="B4" s="16" t="s">
        <v>53</v>
      </c>
      <c r="C4" s="16" t="s">
        <v>54</v>
      </c>
      <c r="D4" s="16" t="s">
        <v>55</v>
      </c>
      <c r="E4" s="16" t="s">
        <v>56</v>
      </c>
      <c r="F4" s="16" t="s">
        <v>57</v>
      </c>
      <c r="G4" s="16" t="s">
        <v>58</v>
      </c>
      <c r="H4" s="16" t="s">
        <v>59</v>
      </c>
      <c r="I4" s="16" t="s">
        <v>60</v>
      </c>
      <c r="J4" s="16" t="s">
        <v>61</v>
      </c>
    </row>
    <row r="8">
      <c r="A8" s="3" t="s">
        <v>156</v>
      </c>
    </row>
    <row r="9">
      <c r="A9" s="4" t="s">
        <v>124</v>
      </c>
      <c r="B9" s="23">
        <f>='Income Statement'!B21</f>
      </c>
      <c r="C9" s="23">
        <f>='Income Statement'!C21</f>
      </c>
      <c r="D9" s="23">
        <f>='Income Statement'!D21</f>
      </c>
      <c r="E9" s="23">
        <f>='Income Statement'!E21</f>
      </c>
      <c r="F9" s="23">
        <f>='Income Statement'!F21</f>
      </c>
      <c r="G9" s="23">
        <f>='Income Statement'!G21</f>
      </c>
      <c r="H9" s="23">
        <f>='Income Statement'!H21</f>
      </c>
      <c r="I9" s="23">
        <f>='Income Statement'!I21</f>
      </c>
      <c r="J9" s="23">
        <f>='Income Statement'!J21</f>
      </c>
    </row>
    <row r="10">
      <c r="A10" s="4" t="s">
        <v>118</v>
      </c>
      <c r="B10" s="23">
        <f>='Income Statement'!B15</f>
      </c>
      <c r="C10" s="23">
        <f>='Income Statement'!C15</f>
      </c>
      <c r="D10" s="23">
        <f>='Income Statement'!D15</f>
      </c>
      <c r="E10" s="23">
        <f>='Income Statement'!E15</f>
      </c>
      <c r="F10" s="23">
        <f>='Income Statement'!F15</f>
      </c>
      <c r="G10" s="23">
        <f>='Income Statement'!G15</f>
      </c>
      <c r="H10" s="23">
        <f>='Income Statement'!H15</f>
      </c>
      <c r="I10" s="23">
        <f>='Income Statement'!I15</f>
      </c>
      <c r="J10" s="23">
        <f>='Income Statement'!J15</f>
      </c>
    </row>
    <row r="11">
      <c r="A11" s="4" t="s">
        <v>157</v>
      </c>
      <c r="B11" s="8">
        <v>724</v>
      </c>
      <c r="C11" s="8">
        <v>774</v>
      </c>
      <c r="D11" s="8">
        <v>818</v>
      </c>
      <c r="E11" s="8">
        <v>860</v>
      </c>
      <c r="F11" s="23">
        <f>='Income Statement'!F10*Assumptions!F22</f>
      </c>
      <c r="G11" s="23">
        <f>='Income Statement'!G10*Assumptions!G22</f>
      </c>
      <c r="H11" s="23">
        <f>='Income Statement'!H10*Assumptions!H22</f>
      </c>
      <c r="I11" s="23">
        <f>='Income Statement'!I10*Assumptions!I22</f>
      </c>
      <c r="J11" s="23">
        <f>='Income Statement'!J10*Assumptions!J22</f>
      </c>
    </row>
    <row r="12">
      <c r="A12" s="4" t="s">
        <v>158</v>
      </c>
      <c r="B12" s="8">
        <v>-1545</v>
      </c>
      <c r="C12" s="8">
        <v>1018</v>
      </c>
      <c r="D12" s="8">
        <v>611</v>
      </c>
      <c r="E12" s="8">
        <v>1764</v>
      </c>
      <c r="F12" s="23">
        <f>=-(('Balance Sheet'!F11-'Balance Sheet'!E11)+('Balance Sheet'!F12-'Balance Sheet'!E12)+('Balance Sheet'!F13-'Balance Sheet'!E13))+(('Balance Sheet'!F20-'Balance Sheet'!E20)+('Balance Sheet'!F21-'Balance Sheet'!E21)+('Balance Sheet'!F23-'Balance Sheet'!E23))</f>
      </c>
      <c r="G12" s="23">
        <f>=-(('Balance Sheet'!G11-'Balance Sheet'!F11)+('Balance Sheet'!G12-'Balance Sheet'!F12)+('Balance Sheet'!G13-'Balance Sheet'!F13))+(('Balance Sheet'!G20-'Balance Sheet'!F20)+('Balance Sheet'!G21-'Balance Sheet'!F21)+('Balance Sheet'!G23-'Balance Sheet'!F23))</f>
      </c>
      <c r="H12" s="23">
        <f>=-(('Balance Sheet'!H11-'Balance Sheet'!G11)+('Balance Sheet'!H12-'Balance Sheet'!G12)+('Balance Sheet'!H13-'Balance Sheet'!G13))+(('Balance Sheet'!H20-'Balance Sheet'!G20)+('Balance Sheet'!H21-'Balance Sheet'!G21)+('Balance Sheet'!H23-'Balance Sheet'!G23))</f>
      </c>
      <c r="I12" s="23">
        <f>=-(('Balance Sheet'!I11-'Balance Sheet'!H11)+('Balance Sheet'!I12-'Balance Sheet'!H12)+('Balance Sheet'!I13-'Balance Sheet'!H13))+(('Balance Sheet'!I20-'Balance Sheet'!H20)+('Balance Sheet'!I21-'Balance Sheet'!H21)+('Balance Sheet'!I23-'Balance Sheet'!H23))</f>
      </c>
      <c r="J12" s="23">
        <f>=-(('Balance Sheet'!J11-'Balance Sheet'!I11)+('Balance Sheet'!J12-'Balance Sheet'!I12)+('Balance Sheet'!J13-'Balance Sheet'!I13))+(('Balance Sheet'!J20-'Balance Sheet'!I20)+('Balance Sheet'!J21-'Balance Sheet'!I21)+('Balance Sheet'!J23-'Balance Sheet'!I23))</f>
      </c>
    </row>
    <row r="13">
      <c r="A13" s="4" t="s">
        <v>159</v>
      </c>
      <c r="B13" s="8">
        <v>398</v>
      </c>
      <c r="C13" s="8">
        <v>907</v>
      </c>
      <c r="D13" s="8">
        <v>306</v>
      </c>
      <c r="E13" s="8">
        <v>186</v>
      </c>
      <c r="F13" s="23">
        <f>=-(('Balance Sheet'!F16-'Balance Sheet'!E16))+(('Balance Sheet'!F26-'Balance Sheet'!E26))</f>
      </c>
      <c r="G13" s="23">
        <f>=-(('Balance Sheet'!G16-'Balance Sheet'!F16))+(('Balance Sheet'!G26-'Balance Sheet'!F26))</f>
      </c>
      <c r="H13" s="23">
        <f>=-(('Balance Sheet'!H16-'Balance Sheet'!G16))+(('Balance Sheet'!H26-'Balance Sheet'!G26))</f>
      </c>
      <c r="I13" s="23">
        <f>=-(('Balance Sheet'!I16-'Balance Sheet'!H16))+(('Balance Sheet'!I26-'Balance Sheet'!H26))</f>
      </c>
      <c r="J13" s="23">
        <f>=-(('Balance Sheet'!J16-'Balance Sheet'!I16))+(('Balance Sheet'!J26-'Balance Sheet'!I26))</f>
      </c>
    </row>
    <row r="14">
      <c r="A14" s="3" t="s">
        <v>160</v>
      </c>
      <c r="B14" s="32">
        <f>=SUM(B9:B13)</f>
      </c>
      <c r="C14" s="32">
        <f>=SUM(C9:C13)</f>
      </c>
      <c r="D14" s="32">
        <f>=SUM(D9:D13)</f>
      </c>
      <c r="E14" s="32">
        <f>=SUM(E9:E13)</f>
      </c>
      <c r="F14" s="32">
        <f>=SUM(F9:F13)</f>
      </c>
      <c r="G14" s="32">
        <f>=SUM(G9:G13)</f>
      </c>
      <c r="H14" s="32">
        <f>=SUM(H9:H13)</f>
      </c>
      <c r="I14" s="32">
        <f>=SUM(I9:I13)</f>
      </c>
      <c r="J14" s="32">
        <f>=SUM(J9:J13)</f>
      </c>
    </row>
    <row r="15">
      <c r="A15" s="3" t="s">
        <v>161</v>
      </c>
    </row>
    <row r="16">
      <c r="A16" s="4" t="s">
        <v>162</v>
      </c>
      <c r="B16" s="8">
        <v>-3891</v>
      </c>
      <c r="C16" s="8">
        <v>-4323</v>
      </c>
      <c r="D16" s="8">
        <v>-4710</v>
      </c>
      <c r="E16" s="8">
        <v>-5498</v>
      </c>
      <c r="F16" s="23">
        <f>=-('Income Statement'!F10*Assumptions!F18)</f>
      </c>
      <c r="G16" s="23">
        <f>=-('Income Statement'!G10*Assumptions!G18)</f>
      </c>
      <c r="H16" s="23">
        <f>=-('Income Statement'!H10*Assumptions!H18)</f>
      </c>
      <c r="I16" s="23">
        <f>=-('Income Statement'!I10*Assumptions!I18)</f>
      </c>
      <c r="J16" s="23">
        <f>=-('Income Statement'!J10*Assumptions!J18)</f>
      </c>
    </row>
    <row r="17">
      <c r="A17" s="3" t="s">
        <v>163</v>
      </c>
      <c r="B17" s="35">
        <v>-3915</v>
      </c>
      <c r="C17" s="35">
        <v>-4972</v>
      </c>
      <c r="D17" s="35">
        <v>-4409</v>
      </c>
      <c r="E17" s="35">
        <v>-5311</v>
      </c>
      <c r="F17" s="29">
        <f>=F16</f>
      </c>
      <c r="G17" s="29">
        <f>=G16</f>
      </c>
      <c r="H17" s="29">
        <f>=H16</f>
      </c>
      <c r="I17" s="29">
        <f>=I16</f>
      </c>
      <c r="J17" s="29">
        <f>=J16</f>
      </c>
    </row>
    <row r="19">
      <c r="A19" s="3" t="s">
        <v>164</v>
      </c>
    </row>
    <row r="20">
      <c r="A20" s="4" t="s">
        <v>165</v>
      </c>
      <c r="B20" s="8">
        <v>-1498</v>
      </c>
      <c r="C20" s="8">
        <v>-1251</v>
      </c>
      <c r="D20" s="8">
        <v>-9041</v>
      </c>
      <c r="E20" s="8">
        <v>-2183</v>
      </c>
      <c r="F20" s="23">
        <f>=-('Income Statement'!F21*Assumptions!F19)</f>
      </c>
      <c r="G20" s="23">
        <f>=-('Income Statement'!G21*Assumptions!G19)</f>
      </c>
      <c r="H20" s="23">
        <f>=-('Income Statement'!H21*Assumptions!H19)</f>
      </c>
      <c r="I20" s="23">
        <f>=-('Income Statement'!I21*Assumptions!I19)</f>
      </c>
      <c r="J20" s="23">
        <f>=-('Income Statement'!J21*Assumptions!J19)</f>
      </c>
    </row>
    <row r="21">
      <c r="A21" s="4" t="s">
        <v>166</v>
      </c>
      <c r="B21" s="8">
        <v>-802</v>
      </c>
      <c r="C21" s="8">
        <v>-979</v>
      </c>
      <c r="D21" s="8">
        <v>-1015</v>
      </c>
      <c r="E21" s="8">
        <v>-1296</v>
      </c>
      <c r="F21" s="23">
        <f>=-(Assumptions!F20)</f>
      </c>
      <c r="G21" s="23">
        <f>=-(Assumptions!G20)</f>
      </c>
      <c r="H21" s="23">
        <f>=-(Assumptions!H20)</f>
      </c>
      <c r="I21" s="23">
        <f>=-(Assumptions!I20)</f>
      </c>
      <c r="J21" s="23">
        <f>=-(Assumptions!J20)</f>
      </c>
    </row>
    <row r="22">
      <c r="A22" s="4" t="s">
        <v>167</v>
      </c>
      <c r="B22" s="8">
        <v>-1983</v>
      </c>
      <c r="C22" s="8">
        <v>-384</v>
      </c>
      <c r="D22" s="8">
        <v>-708</v>
      </c>
      <c r="E22" s="8">
        <v>-296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</row>
    <row r="23">
      <c r="A23" s="3" t="s">
        <v>168</v>
      </c>
      <c r="B23" s="32">
        <f>=SUM(B20:B22)</f>
      </c>
      <c r="C23" s="32">
        <f>=SUM(C20:C22)</f>
      </c>
      <c r="D23" s="32">
        <f>=SUM(D20:D22)</f>
      </c>
      <c r="E23" s="32">
        <f>=SUM(E20:E22)</f>
      </c>
      <c r="F23" s="32">
        <f>=SUM(F20:F22)</f>
      </c>
      <c r="G23" s="32">
        <f>=SUM(G20:G22)</f>
      </c>
      <c r="H23" s="32">
        <f>=SUM(H20:H22)</f>
      </c>
      <c r="I23" s="32">
        <f>=SUM(I20:I22)</f>
      </c>
      <c r="J23" s="32">
        <f>=SUM(J20:J22)</f>
      </c>
    </row>
    <row r="25">
      <c r="A25" s="3" t="s">
        <v>169</v>
      </c>
      <c r="B25" s="21">
        <f>=B14+B17+B23</f>
      </c>
      <c r="C25" s="21">
        <f>=C14+C17+C23</f>
      </c>
      <c r="D25" s="21">
        <f>=D14+D17+D23</f>
      </c>
      <c r="E25" s="21">
        <f>=E14+E17+E23</f>
      </c>
      <c r="F25" s="21">
        <f>=F14+F17+F23</f>
      </c>
      <c r="G25" s="21">
        <f>=G14+G17+G23</f>
      </c>
      <c r="H25" s="21">
        <f>=H14+H17+H23</f>
      </c>
      <c r="I25" s="21">
        <f>=I14+I17+I23</f>
      </c>
      <c r="J25" s="21">
        <f>=J14+J17+J23</f>
      </c>
    </row>
    <row r="26">
      <c r="A26" s="4" t="s">
        <v>170</v>
      </c>
      <c r="B26" s="8">
        <v>0</v>
      </c>
      <c r="C26" s="8">
        <v>15</v>
      </c>
      <c r="D26" s="8">
        <v>40</v>
      </c>
      <c r="E26" s="8">
        <v>6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</row>
    <row r="27">
      <c r="A27" s="4" t="s">
        <v>171</v>
      </c>
      <c r="B27" s="8">
        <v>11009</v>
      </c>
      <c r="C27" s="34">
        <f>=B28</f>
      </c>
      <c r="D27" s="34">
        <f>=C28</f>
      </c>
      <c r="E27" s="34">
        <f>=D28</f>
      </c>
      <c r="F27" s="34">
        <f>=E28</f>
      </c>
      <c r="G27" s="34">
        <f>=F28</f>
      </c>
      <c r="H27" s="34">
        <f>=G28</f>
      </c>
      <c r="I27" s="34">
        <f>=H28</f>
      </c>
      <c r="J27" s="34">
        <f>=I28</f>
      </c>
    </row>
    <row r="28">
      <c r="A28" s="3" t="s">
        <v>172</v>
      </c>
      <c r="B28" s="36">
        <f>=B27+B25+B26</f>
      </c>
      <c r="C28" s="36">
        <f>=C27+C25+C26</f>
      </c>
      <c r="D28" s="36">
        <f>=D27+D25+D26</f>
      </c>
      <c r="E28" s="36">
        <f>=E27+E25+E26</f>
      </c>
      <c r="F28" s="36">
        <f>=F27+F25+F26</f>
      </c>
      <c r="G28" s="36">
        <f>=G27+G25+G26</f>
      </c>
      <c r="H28" s="36">
        <f>=H27+H25+H26</f>
      </c>
      <c r="I28" s="36">
        <f>=I27+I25+I26</f>
      </c>
      <c r="J28" s="36">
        <f>=J27+J25+J26</f>
      </c>
    </row>
  </sheetData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C33"/>
  <sheetViews>
    <sheetView workbookViewId="0" showGridLines="0" zoomScale="100" tabSelected="0"/>
  </sheetViews>
  <sheetFormatPr defaultRowHeight="15"/>
  <cols>
    <col min="1" max="1" width="46" customWidth="1"/>
    <col min="2" max="2" width="46" customWidth="1"/>
    <col min="3" max="3" width="46" customWidth="1"/>
  </cols>
  <sheetData>
    <row r="1">
      <c r="A1" s="1" t="s">
        <v>173</v>
      </c>
    </row>
    <row r="2">
      <c r="A2" s="2" t="s">
        <v>174</v>
      </c>
    </row>
    <row r="4">
      <c r="A4" s="37" t="s">
        <v>175</v>
      </c>
      <c r="B4" s="37" t="s">
        <v>176</v>
      </c>
      <c r="C4" s="37" t="s">
        <v>177</v>
      </c>
    </row>
    <row r="5">
      <c r="A5" s="4" t="s">
        <v>178</v>
      </c>
      <c r="B5" s="14" t="s">
        <v>179</v>
      </c>
      <c r="C5" s="14" t="s">
        <v>180</v>
      </c>
    </row>
    <row r="6">
      <c r="A6" s="4" t="s">
        <v>181</v>
      </c>
      <c r="B6" s="14" t="s">
        <v>182</v>
      </c>
      <c r="C6" s="14" t="s">
        <v>183</v>
      </c>
    </row>
    <row r="7">
      <c r="A7" s="4" t="s">
        <v>184</v>
      </c>
      <c r="B7" s="14" t="s">
        <v>185</v>
      </c>
      <c r="C7" s="14" t="s">
        <v>186</v>
      </c>
    </row>
    <row r="8">
      <c r="A8" s="4" t="s">
        <v>187</v>
      </c>
      <c r="B8" s="14" t="s">
        <v>188</v>
      </c>
      <c r="C8" s="14" t="s">
        <v>189</v>
      </c>
    </row>
    <row r="9">
      <c r="A9" s="4" t="s">
        <v>190</v>
      </c>
      <c r="B9" s="14" t="s">
        <v>191</v>
      </c>
      <c r="C9" s="14" t="s">
        <v>192</v>
      </c>
    </row>
    <row r="10">
      <c r="A10" s="4" t="s">
        <v>193</v>
      </c>
      <c r="B10" s="14" t="s">
        <v>194</v>
      </c>
      <c r="C10" s="14" t="s">
        <v>195</v>
      </c>
    </row>
    <row r="12">
      <c r="A12" s="3" t="s">
        <v>196</v>
      </c>
    </row>
    <row r="13">
      <c r="A13" s="14" t="s">
        <v>197</v>
      </c>
    </row>
    <row r="15">
      <c r="A15" s="14" t="s">
        <v>198</v>
      </c>
    </row>
    <row r="17">
      <c r="A17" s="14" t="s">
        <v>199</v>
      </c>
    </row>
    <row r="19">
      <c r="A19" s="14" t="s">
        <v>200</v>
      </c>
    </row>
    <row r="21">
      <c r="A21" s="14" t="s">
        <v>201</v>
      </c>
    </row>
    <row r="23">
      <c r="A23" s="14" t="s">
        <v>202</v>
      </c>
    </row>
    <row r="25">
      <c r="A25" s="14" t="s">
        <v>203</v>
      </c>
    </row>
    <row r="27">
      <c r="A27" s="14" t="s">
        <v>204</v>
      </c>
    </row>
    <row r="29">
      <c r="A29" s="14" t="s">
        <v>205</v>
      </c>
    </row>
    <row r="31">
      <c r="A31" s="14" t="s">
        <v>206</v>
      </c>
    </row>
    <row r="33">
      <c r="A33" s="14" t="s">
        <v>207</v>
      </c>
    </row>
  </sheetData>
  <mergeCells>
    <mergeCell ref="A13:C13"/>
    <mergeCell ref="A15:C15"/>
    <mergeCell ref="A17:C17"/>
    <mergeCell ref="A19:C19"/>
    <mergeCell ref="A21:C21"/>
    <mergeCell ref="A23:C23"/>
    <mergeCell ref="A25:C25"/>
    <mergeCell ref="A27:C27"/>
    <mergeCell ref="A29:C29"/>
    <mergeCell ref="A31:C31"/>
    <mergeCell ref="A33:C33"/>
  </mergeCells>
  <headerFooter/>
</worksheet>
</file>