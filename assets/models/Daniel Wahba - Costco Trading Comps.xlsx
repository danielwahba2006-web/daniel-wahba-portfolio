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ummary" sheetId="1" r:id="rId1"/>
    <sheet name="Comp Set &amp; Financial Data" sheetId="2" r:id="rId3"/>
    <sheet name="Trading Multiples" sheetId="3" r:id="rId4"/>
    <sheet name="Sources" sheetId="4" r:id="rId5"/>
  </sheets>
  <calcPr fullCalcOnLoad="1"/>
</workbook>
</file>

<file path=xl/sharedStrings.xml><?xml version="1.0" encoding="utf-8"?>
<sst xmlns="http://schemas.openxmlformats.org/spreadsheetml/2006/main" count="115" uniqueCount="115">
  <si>
    <t>COSTCO WHOLESALE CORPORATION (NASDAQ: COST) - TRADING COMPARABLES ANALYSIS</t>
  </si>
  <si>
    <t xml:space="preserve">Daniel Wahba  |  Analysis Date: July 7, 2026  |  Peer Set: Walmart (WMT), Target (TGT), BJ's Wholesale (BJ)</t>
  </si>
  <si>
    <t>COST SNAPSHOT (7/7/2026)</t>
  </si>
  <si>
    <t>IMPLIED VALUATION (PEER MEAN MULTIPLES)</t>
  </si>
  <si>
    <t>Current Share Price</t>
  </si>
  <si>
    <t>Implied Price - EV/EBITDA Method</t>
  </si>
  <si>
    <t>Market Capitalization ($mm)</t>
  </si>
  <si>
    <t>Implied Price - EV/Revenue Method</t>
  </si>
  <si>
    <t>Enterprise Value ($mm)</t>
  </si>
  <si>
    <t>Implied Price - P/E Method</t>
  </si>
  <si>
    <t>TTM Revenue ($mm)</t>
  </si>
  <si>
    <t>Average Implied Price (Peer Comps)</t>
  </si>
  <si>
    <t>TTM EBITDA ($mm)</t>
  </si>
  <si>
    <t>Actual Price vs. Peer-Implied Price</t>
  </si>
  <si>
    <t>TTM P/E</t>
  </si>
  <si>
    <t>TTM EV/EBITDA</t>
  </si>
  <si>
    <t>KEY FINDING: THE 'QUALITY PREMIUM'</t>
  </si>
  <si>
    <t xml:space="preserve">-  Applying peer (WMT/TGT/BJ) mean trading multiples to Costco's own EBITDA, revenue, and EPS implies a share price of roughly half Costco's actual .50 trading price -- Costco trades at a large, persistent premium to every large-format retail peer on every multiple.</t>
  </si>
  <si>
    <t xml:space="preserve">-  This is not a mispricing signal; it reflects a genuine quality premium the market assigns to Costco's business model: membership-fee revenue (high-margin, highly recurring, ~90%+ renewal rates) effectively subsidizes wafer-thin, deliberately-capped merchandise margins, producing more predictable, less cyclical earnings than a traditional big-box retailer.</t>
  </si>
  <si>
    <t xml:space="preserve">-  BJ's Wholesale is the closest structural comp (same membership-club model) and trades far closer to Costco's growth profile than Walmart/Target, yet still at roughly half Costco's EV/EBITDA multiple -- suggesting the market further distinguishes Costco's scale, brand, and international runway even within the club-retail category.</t>
  </si>
  <si>
    <t xml:space="preserve">-  Comps are best used here as a relative-value cross-check and a lens on 'what the market is paying for' rather than a standalone price target -- consistent with how this multiple set is explicitly framed as a sense-check, not a valuation conclusion, on the Trading Multiples tab.</t>
  </si>
  <si>
    <t>COLOR KEY USED THROUGHOUT THIS MODEL</t>
  </si>
  <si>
    <t>Blue font</t>
  </si>
  <si>
    <t>Hardcoded input / assumption (sourced from market data)</t>
  </si>
  <si>
    <t>Black font</t>
  </si>
  <si>
    <t>Formula calculated within the same worksheet</t>
  </si>
  <si>
    <t>Green font</t>
  </si>
  <si>
    <t>Formula linking to another worksheet in this workbook</t>
  </si>
  <si>
    <t>Yellow highlight</t>
  </si>
  <si>
    <t>Key output cell</t>
  </si>
  <si>
    <t>WORKBOOK NAVIGATION</t>
  </si>
  <si>
    <t>Summary</t>
  </si>
  <si>
    <t>This page - snapshot, implied valuation output, and key finding.</t>
  </si>
  <si>
    <t>Comp Set &amp; Financial Data</t>
  </si>
  <si>
    <t>Share price, shares, market cap, EV, revenue, EBITDA, net income for COST + 3 peers.</t>
  </si>
  <si>
    <t>Trading Multiples</t>
  </si>
  <si>
    <t>EV/Revenue, EV/EBITDA, P/E per company, peer mean/median, and implied COST valuation.</t>
  </si>
  <si>
    <t>Sources</t>
  </si>
  <si>
    <t>Full bibliography of every data source used in this model.</t>
  </si>
  <si>
    <t>TRADING COMPARABLES - COMP SET &amp; FINANCIAL DATA</t>
  </si>
  <si>
    <t xml:space="preserve">Daniel Wahba  |  $ in millions except per-share data  |  TTM figures and market data as of 7/7/2026 (stockanalysis.com)</t>
  </si>
  <si>
    <t>Ticker</t>
  </si>
  <si>
    <t>Company</t>
  </si>
  <si>
    <t>Share Price</t>
  </si>
  <si>
    <t>Diluted Shares (mm)</t>
  </si>
  <si>
    <t>Market Cap</t>
  </si>
  <si>
    <t>Net Debt / (Cash)</t>
  </si>
  <si>
    <t>Enterprise Value</t>
  </si>
  <si>
    <t>Revenue (TTM)</t>
  </si>
  <si>
    <t>EBITDA (TTM)</t>
  </si>
  <si>
    <t>EBITDA Margin</t>
  </si>
  <si>
    <t>Net Income (TTM)</t>
  </si>
  <si>
    <t>Net Margin</t>
  </si>
  <si>
    <t>Diluted EPS (TTM)</t>
  </si>
  <si>
    <t>Rev. Growth (Fwd 3-Yr)</t>
  </si>
  <si>
    <t>COST</t>
  </si>
  <si>
    <t>Costco Wholesale Corp.</t>
  </si>
  <si>
    <t>WMT</t>
  </si>
  <si>
    <t>Walmart Inc.</t>
  </si>
  <si>
    <t>TGT</t>
  </si>
  <si>
    <t>Target Corp.</t>
  </si>
  <si>
    <t>BJ</t>
  </si>
  <si>
    <t>BJ's Wholesale Club Holdings</t>
  </si>
  <si>
    <t>TRADING COMPARABLES - MULTIPLES &amp; IMPLIED VALUATION</t>
  </si>
  <si>
    <t xml:space="preserve">Daniel Wahba  |  All multiples derived from the Comp Set &amp; Financial Data tab</t>
  </si>
  <si>
    <t>EV / Revenue</t>
  </si>
  <si>
    <t>EV / EBITDA</t>
  </si>
  <si>
    <t>P/E (TTM)</t>
  </si>
  <si>
    <t>P/E (Fwd)</t>
  </si>
  <si>
    <t>Peer Mean (WMT / TGT / BJ, excl. COST)</t>
  </si>
  <si>
    <t>Peer Median (WMT / TGT / BJ, excl. COST)</t>
  </si>
  <si>
    <t>IMPLIED COST VALUATION (Applying Peer MEAN Multiples to COST's Own Financials)</t>
  </si>
  <si>
    <t>This is a relative-value sense-check, not a standalone price target -- see Summary tab for interpretation.</t>
  </si>
  <si>
    <t>Method</t>
  </si>
  <si>
    <t>Peer Mean Multiple</t>
  </si>
  <si>
    <t>COST Metric Applied</t>
  </si>
  <si>
    <t>Implied Enterprise Value</t>
  </si>
  <si>
    <t>(-) Net Debt / (Cash)</t>
  </si>
  <si>
    <t>Implied Equity Value</t>
  </si>
  <si>
    <t>/ Diluted Shares (mm)</t>
  </si>
  <si>
    <t>= Implied Share Price</t>
  </si>
  <si>
    <t>EV / EBITDA Method</t>
  </si>
  <si>
    <t>EV / Revenue Method</t>
  </si>
  <si>
    <t>P/E Method (direct to equity)</t>
  </si>
  <si>
    <t>n/a - direct to price</t>
  </si>
  <si>
    <t>n/a</t>
  </si>
  <si>
    <t>SUMMARY OUTPUT (referenced by the Summary tab)</t>
  </si>
  <si>
    <t>EV / EBITDA Method - Implied Share Price</t>
  </si>
  <si>
    <t>EV / Revenue Method - Implied Share Price</t>
  </si>
  <si>
    <t>P/E Method - Implied Share Price</t>
  </si>
  <si>
    <t>Average Implied Share Price (3 Methods)</t>
  </si>
  <si>
    <t>Actual COST Price vs. Peer-Implied Average (Premium)</t>
  </si>
  <si>
    <t>SOURCES &amp; METHODOLOGY NOTES</t>
  </si>
  <si>
    <t xml:space="preserve">Daniel Wahba  |  Costco Wholesale Corporation (NASDAQ: COST) - Trading Comparables Analysis</t>
  </si>
  <si>
    <t>#</t>
  </si>
  <si>
    <t>Source</t>
  </si>
  <si>
    <t>Used For</t>
  </si>
  <si>
    <t>1</t>
  </si>
  <si>
    <t>stockanalysis.com/stocks/cost/statistics/ - accessed 7/7/2026</t>
  </si>
  <si>
    <t>COST share price, market cap, EV, TTM revenue/EBITDA/net income/EPS, total debt, cash.</t>
  </si>
  <si>
    <t>2</t>
  </si>
  <si>
    <t>stockanalysis.com/stocks/wmt/statistics/ - accessed 7/7/2026</t>
  </si>
  <si>
    <t>WMT share price, market cap, EV, TTM revenue/EBITDA/net income/EPS, forward P/E, revenue growth forecast.</t>
  </si>
  <si>
    <t>3</t>
  </si>
  <si>
    <t>stockanalysis.com/stocks/tgt/statistics/ - accessed 7/7/2026</t>
  </si>
  <si>
    <t>TGT share price, market cap, EV, TTM revenue/EBITDA/net income/EPS, forward P/E, revenue growth forecast.</t>
  </si>
  <si>
    <t>4</t>
  </si>
  <si>
    <t>stockanalysis.com/stocks/bj/statistics/ - accessed 7/7/2026</t>
  </si>
  <si>
    <t>BJ share price, market cap, EV, TTM revenue/EBITDA/net income/EPS, forward P/E, revenue growth forecast.</t>
  </si>
  <si>
    <t>METHODOLOGY / DERIVATION NOTES</t>
  </si>
  <si>
    <t xml:space="preserve">-  Diluted Shares Outstanding for each company is derived as Market Cap / Share Price (both sourced from the same stockanalysis.com snapshot), rather than pulling a separately-reported share count -- this keeps each company's price, market cap, and share count fully internally consistent as of the same data pull.</t>
  </si>
  <si>
    <t xml:space="preserve">-  Net Debt / (Cash) is derived as Enterprise Value - Market Cap for all four companies. For Costco, this reconciles to within rounding of Total Debt ($8,230mm) less Cash ($20,000mm) = ($11,770mm), an independent cross-check sourced from the same statistics page.</t>
  </si>
  <si>
    <t xml:space="preserve">-  Forward P/E is a directly-sourced market-consensus statistic (not derived from a separately-modeled forward EPS figure) and is shown for reference; it is not used in the Implied COST Valuation build, which relies only on TTM (trailing-twelve-month) financials for methodological consistency.</t>
  </si>
  <si>
    <t xml:space="preserve">-  The peer set (Walmart, Target, BJ's Wholesale) excludes Costco itself from the 'Peer Mean' / 'Peer Median' calculations, per standard trading-comps methodology -- the subject company is never included in the multiple set used to value it.</t>
  </si>
  <si>
    <t xml:space="preserve">-  The Implied COST Valuation section is explicitly framed as a relative-value sense-check, not a price target: Costco trades at a structural premium to every peer on every multiple, which this model attributes to its membership-fee-driven earnings quality rather than treating it as a valuation error (see Summary tab).</t>
  </si>
</sst>
</file>

<file path=xl/styles.xml><?xml version="1.0" encoding="utf-8"?>
<styleSheet xmlns="http://schemas.openxmlformats.org/spreadsheetml/2006/main">
  <numFmts count="6">
    <numFmt numFmtId="164" formatCode="$#,##0.00"/>
    <numFmt numFmtId="165" formatCode="#,##0;(#,##0)"/>
    <numFmt numFmtId="166" formatCode="0.00x"/>
    <numFmt numFmtId="167" formatCode="0.0%;(0.0%)"/>
    <numFmt numFmtId="168" formatCode="#,##0.0"/>
    <numFmt numFmtId="169" formatCode="$#,##0.00;($#,##0.00)"/>
  </numFmts>
  <fonts count="11">
    <font>
      <sz val="11"/>
      <name val="Calibri"/>
    </font>
    <font>
      <b/>
      <sz val="14"/>
      <color rgb="FF000000" tint="0"/>
      <name val="Calibri"/>
    </font>
    <font>
      <sz val="10"/>
      <color rgb="FF595959" tint="0"/>
      <name val="Calibri"/>
    </font>
    <font>
      <b/>
      <sz val="10"/>
      <color rgb="FF000000" tint="0"/>
      <name val="Calibri"/>
    </font>
    <font>
      <sz val="10"/>
      <color rgb="FF000000" tint="0"/>
      <name val="Calibri"/>
    </font>
    <font>
      <sz val="10"/>
      <color rgb="FF0000CD" tint="0"/>
      <name val="Calibri"/>
    </font>
    <font>
      <b/>
      <sz val="10"/>
      <color rgb="FF008000" tint="0"/>
      <name val="Calibri"/>
    </font>
    <font>
      <b/>
      <sz val="10"/>
      <color rgb="FF0000CD" tint="0"/>
      <name val="Calibri"/>
    </font>
    <font>
      <b/>
      <sz val="9"/>
      <color rgb="FFFFFFFF" tint="0"/>
      <name val="Calibri"/>
    </font>
    <font>
      <b/>
      <sz val="10"/>
      <color rgb="FFFFFFFF" tint="0"/>
      <name val="Calibri"/>
    </font>
    <font>
      <sz val="10"/>
      <color rgb="FF008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 tint="0"/>
      </patternFill>
    </fill>
    <fill>
      <patternFill patternType="solid">
        <fgColor rgb="FF0F1E3C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/>
  </cellStyleXfs>
  <cellXfs count="46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5" applyFont="1" xfId="0" applyProtection="1"/>
    <xf numFmtId="164" applyNumberFormat="1" fontId="5" applyFont="1" xfId="0" applyProtection="1"/>
    <xf numFmtId="165" applyNumberFormat="1" fontId="5" applyFont="1" xfId="0" applyProtection="1"/>
    <xf numFmtId="166" applyNumberFormat="1" fontId="5" applyFont="1" xfId="0" applyProtection="1"/>
    <xf numFmtId="0" applyNumberFormat="1" fontId="6" applyFont="1" xfId="0" applyProtection="1"/>
    <xf numFmtId="164" applyNumberFormat="1" fontId="6" applyFont="1" fillId="2" applyFill="1" xfId="0" applyProtection="1"/>
    <xf numFmtId="167" applyNumberFormat="1" fontId="6" applyFont="1" fillId="2" applyFill="1" xfId="0" applyProtection="1"/>
    <xf numFmtId="0" applyNumberFormat="1" fontId="4" applyFont="1" xfId="0" applyProtection="1">
      <alignment wrapText="1"/>
    </xf>
    <xf numFmtId="0" applyNumberFormat="1" fontId="7" applyFont="1" xfId="0" applyProtection="1"/>
    <xf numFmtId="168" applyNumberFormat="1" fontId="4" applyFont="1" xfId="0" applyProtection="1"/>
    <xf numFmtId="165" applyNumberFormat="1" fontId="4" applyFont="1" xfId="0" applyProtection="1"/>
    <xf numFmtId="167" applyNumberFormat="1" fontId="4" applyFont="1" xfId="0" applyProtection="1"/>
    <xf numFmtId="169" applyNumberFormat="1" fontId="5" applyFont="1" xfId="0" applyProtection="1"/>
    <xf numFmtId="167" applyNumberFormat="1" fontId="5" applyFont="1" xfId="0" applyProtection="1"/>
    <xf numFmtId="0" applyNumberFormat="1" fontId="8" applyFont="1" fillId="3" applyFill="1" borderId="1" applyBorder="1" xfId="0" applyProtection="1" applyAlignment="1">
      <alignment horizontal="center" wrapText="1"/>
    </xf>
    <xf numFmtId="0" applyNumberFormat="1" fontId="7" applyFont="1" borderId="2" applyBorder="1" xfId="0" applyProtection="1"/>
    <xf numFmtId="0" applyNumberFormat="1" fontId="5" applyFont="1" borderId="2" applyBorder="1" xfId="0" applyProtection="1"/>
    <xf numFmtId="164" applyNumberFormat="1" fontId="5" applyFont="1" borderId="2" applyBorder="1" xfId="0" applyProtection="1"/>
    <xf numFmtId="168" applyNumberFormat="1" fontId="4" applyFont="1" borderId="2" applyBorder="1" xfId="0" applyProtection="1"/>
    <xf numFmtId="165" applyNumberFormat="1" fontId="5" applyFont="1" borderId="2" applyBorder="1" xfId="0" applyProtection="1"/>
    <xf numFmtId="165" applyNumberFormat="1" fontId="4" applyFont="1" borderId="2" applyBorder="1" xfId="0" applyProtection="1"/>
    <xf numFmtId="167" applyNumberFormat="1" fontId="4" applyFont="1" borderId="2" applyBorder="1" xfId="0" applyProtection="1"/>
    <xf numFmtId="169" applyNumberFormat="1" fontId="5" applyFont="1" borderId="2" applyBorder="1" xfId="0" applyProtection="1"/>
    <xf numFmtId="167" applyNumberFormat="1" fontId="5" applyFont="1" borderId="2" applyBorder="1" xfId="0" applyProtection="1"/>
    <xf numFmtId="0" applyNumberFormat="1" fontId="10" applyFont="1" xfId="0" applyProtection="1"/>
    <xf numFmtId="166" applyNumberFormat="1" fontId="10" applyFont="1" xfId="0" applyProtection="1"/>
    <xf numFmtId="0" applyNumberFormat="1" fontId="9" applyFont="1" fillId="3" applyFill="1" borderId="1" applyBorder="1" xfId="0" applyProtection="1" applyAlignment="1">
      <alignment horizontal="center"/>
    </xf>
    <xf numFmtId="0" applyNumberFormat="1" fontId="6" applyFont="1" borderId="2" applyBorder="1" xfId="0" applyProtection="1"/>
    <xf numFmtId="0" applyNumberFormat="1" fontId="10" applyFont="1" borderId="2" applyBorder="1" xfId="0" applyProtection="1"/>
    <xf numFmtId="166" applyNumberFormat="1" fontId="10" applyFont="1" borderId="2" applyBorder="1" xfId="0" applyProtection="1"/>
    <xf numFmtId="166" applyNumberFormat="1" fontId="5" applyFont="1" borderId="2" applyBorder="1" xfId="0" applyProtection="1"/>
    <xf numFmtId="166" applyNumberFormat="1" fontId="3" applyFont="1" xfId="0" applyProtection="1"/>
    <xf numFmtId="166" applyNumberFormat="1" fontId="3" applyFont="1" borderId="2" applyBorder="1" xfId="0" applyProtection="1"/>
    <xf numFmtId="0" applyNumberFormat="1" fontId="3" applyFont="1" borderId="1" applyBorder="1" xfId="0" applyProtection="1"/>
    <xf numFmtId="166" applyNumberFormat="1" fontId="4" applyFont="1" xfId="0" applyProtection="1"/>
    <xf numFmtId="165" applyNumberFormat="1" fontId="10" applyFont="1" xfId="0" applyProtection="1"/>
    <xf numFmtId="168" applyNumberFormat="1" fontId="10" applyFont="1" xfId="0" applyProtection="1"/>
    <xf numFmtId="164" applyNumberFormat="1" fontId="3" applyFont="1" xfId="0" applyProtection="1"/>
    <xf numFmtId="169" applyNumberFormat="1" fontId="10" applyFont="1" xfId="0" applyProtection="1"/>
    <xf numFmtId="0" applyNumberFormat="1" fontId="0" applyFont="1" borderId="2" applyBorder="1" xfId="0" applyProtection="1"/>
    <xf numFmtId="164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5"/>
  <sheetViews>
    <sheetView workbookViewId="0" showGridLines="0" tabSelected="0"/>
  </sheetViews>
  <sheetFormatPr defaultRowHeight="15"/>
  <cols>
    <col min="1" max="1" width="3" customWidth="1"/>
    <col min="2" max="2" width="30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>
      <c r="A1" s="1" t="s">
        <v>0</v>
      </c>
    </row>
    <row r="2">
      <c r="A2" s="2" t="s">
        <v>1</v>
      </c>
    </row>
    <row r="5">
      <c r="B5" s="3" t="s">
        <v>2</v>
      </c>
      <c r="F5" s="3" t="s">
        <v>3</v>
      </c>
    </row>
    <row r="6">
      <c r="B6" s="4" t="s">
        <v>4</v>
      </c>
      <c r="C6" s="6">
        <v>947.5</v>
      </c>
      <c r="F6" s="4" t="s">
        <v>5</v>
      </c>
      <c r="G6" s="10">
        <f>='Trading Multiples'!C24</f>
      </c>
    </row>
    <row r="7">
      <c r="B7" s="4" t="s">
        <v>6</v>
      </c>
      <c r="C7" s="7">
        <v>420200</v>
      </c>
      <c r="F7" s="4" t="s">
        <v>7</v>
      </c>
      <c r="G7" s="10">
        <f>='Trading Multiples'!C25</f>
      </c>
    </row>
    <row r="8">
      <c r="B8" s="4" t="s">
        <v>8</v>
      </c>
      <c r="C8" s="7">
        <v>408430</v>
      </c>
      <c r="F8" s="4" t="s">
        <v>9</v>
      </c>
      <c r="G8" s="10">
        <f>='Trading Multiples'!C26</f>
      </c>
    </row>
    <row r="9">
      <c r="B9" s="4" t="s">
        <v>10</v>
      </c>
      <c r="C9" s="7">
        <v>293590</v>
      </c>
      <c r="F9" s="4" t="s">
        <v>11</v>
      </c>
      <c r="G9" s="10">
        <f>='Trading Multiples'!C27</f>
      </c>
    </row>
    <row r="10">
      <c r="B10" s="4" t="s">
        <v>12</v>
      </c>
      <c r="C10" s="7">
        <v>13790</v>
      </c>
      <c r="F10" s="4" t="s">
        <v>13</v>
      </c>
      <c r="G10" s="11">
        <f>='Trading Multiples'!C28</f>
      </c>
    </row>
    <row r="11">
      <c r="B11" s="4" t="s">
        <v>14</v>
      </c>
      <c r="C11" s="8">
        <v>47.66</v>
      </c>
    </row>
    <row r="12">
      <c r="B12" s="4" t="s">
        <v>15</v>
      </c>
      <c r="C12" s="8">
        <v>29.62</v>
      </c>
    </row>
    <row r="14">
      <c r="B14" s="3" t="s">
        <v>16</v>
      </c>
    </row>
    <row r="15">
      <c r="B15" s="12" t="s">
        <v>17</v>
      </c>
    </row>
    <row r="17">
      <c r="B17" s="12" t="s">
        <v>18</v>
      </c>
    </row>
    <row r="19">
      <c r="B19" s="12" t="s">
        <v>19</v>
      </c>
    </row>
    <row r="21">
      <c r="B21" s="12" t="s">
        <v>20</v>
      </c>
    </row>
    <row r="24">
      <c r="B24" s="3" t="s">
        <v>21</v>
      </c>
    </row>
    <row r="25">
      <c r="B25" s="13" t="s">
        <v>22</v>
      </c>
      <c r="C25" s="4" t="s">
        <v>23</v>
      </c>
    </row>
    <row r="26">
      <c r="B26" s="3" t="s">
        <v>24</v>
      </c>
      <c r="C26" s="4" t="s">
        <v>25</v>
      </c>
    </row>
    <row r="27">
      <c r="B27" s="9" t="s">
        <v>26</v>
      </c>
      <c r="C27" s="4" t="s">
        <v>27</v>
      </c>
    </row>
    <row r="28">
      <c r="B28" s="3" t="s">
        <v>28</v>
      </c>
      <c r="C28" s="4" t="s">
        <v>29</v>
      </c>
    </row>
    <row r="31">
      <c r="B31" s="3" t="s">
        <v>30</v>
      </c>
    </row>
    <row r="32">
      <c r="B32" s="3" t="s">
        <v>31</v>
      </c>
      <c r="C32" s="4" t="s">
        <v>32</v>
      </c>
    </row>
    <row r="33">
      <c r="B33" s="3" t="s">
        <v>33</v>
      </c>
      <c r="C33" s="4" t="s">
        <v>34</v>
      </c>
    </row>
    <row r="34">
      <c r="B34" s="3" t="s">
        <v>35</v>
      </c>
      <c r="C34" s="4" t="s">
        <v>36</v>
      </c>
    </row>
    <row r="35">
      <c r="B35" s="3" t="s">
        <v>37</v>
      </c>
      <c r="C35" s="4" t="s">
        <v>38</v>
      </c>
    </row>
  </sheetData>
  <mergeCells>
    <mergeCell ref="B15:I15"/>
    <mergeCell ref="B17:I17"/>
    <mergeCell ref="B19:I19"/>
    <mergeCell ref="B21:I21"/>
    <mergeCell ref="C25:I25"/>
    <mergeCell ref="C26:I26"/>
    <mergeCell ref="C27:I27"/>
    <mergeCell ref="C28:I28"/>
    <mergeCell ref="C32:I32"/>
    <mergeCell ref="C33:I33"/>
    <mergeCell ref="C34:I34"/>
    <mergeCell ref="C35:I3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9"/>
  <sheetViews>
    <sheetView workbookViewId="0" showGridLines="0" tabSelected="0"/>
  </sheetViews>
  <sheetFormatPr defaultRowHeight="15"/>
  <cols>
    <col min="1" max="1" width="8" customWidth="1"/>
    <col min="2" max="2" width="2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>
      <c r="A1" s="1" t="s">
        <v>39</v>
      </c>
    </row>
    <row r="2">
      <c r="A2" s="2" t="s">
        <v>40</v>
      </c>
    </row>
    <row r="4">
      <c r="A4" s="19" t="s">
        <v>41</v>
      </c>
      <c r="B4" s="19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  <c r="K4" s="19" t="s">
        <v>51</v>
      </c>
      <c r="L4" s="19" t="s">
        <v>52</v>
      </c>
      <c r="M4" s="19" t="s">
        <v>53</v>
      </c>
      <c r="N4" s="19" t="s">
        <v>54</v>
      </c>
    </row>
    <row r="6">
      <c r="A6" s="20" t="s">
        <v>55</v>
      </c>
      <c r="B6" s="21" t="s">
        <v>56</v>
      </c>
      <c r="C6" s="22">
        <v>947.5</v>
      </c>
      <c r="D6" s="23">
        <f>=E6/C6</f>
      </c>
      <c r="E6" s="24">
        <v>420200</v>
      </c>
      <c r="F6" s="25">
        <f>=G6-E6</f>
      </c>
      <c r="G6" s="24">
        <v>408430</v>
      </c>
      <c r="H6" s="24">
        <v>293590</v>
      </c>
      <c r="I6" s="24">
        <v>13790</v>
      </c>
      <c r="J6" s="26">
        <f>=I6/H6</f>
      </c>
      <c r="K6" s="24">
        <v>8840</v>
      </c>
      <c r="L6" s="26">
        <f>=K6/H6</f>
      </c>
      <c r="M6" s="27">
        <v>19.88</v>
      </c>
      <c r="N6" s="28">
        <v>0.0832</v>
      </c>
    </row>
    <row r="7">
      <c r="A7" s="13" t="s">
        <v>57</v>
      </c>
      <c r="B7" s="5" t="s">
        <v>58</v>
      </c>
      <c r="C7" s="6">
        <v>111.54</v>
      </c>
      <c r="D7" s="14">
        <f>=E7/C7</f>
      </c>
      <c r="E7" s="7">
        <v>887640</v>
      </c>
      <c r="F7" s="15">
        <f>=G7-E7</f>
      </c>
      <c r="G7" s="7">
        <v>952460</v>
      </c>
      <c r="H7" s="7">
        <v>725310</v>
      </c>
      <c r="I7" s="7">
        <v>44840</v>
      </c>
      <c r="J7" s="16">
        <f>=I7/H7</f>
      </c>
      <c r="K7" s="7">
        <v>22740</v>
      </c>
      <c r="L7" s="16">
        <f>=K7/H7</f>
      </c>
      <c r="M7" s="17">
        <v>2.84</v>
      </c>
      <c r="N7" s="18">
        <v>0.05</v>
      </c>
    </row>
    <row r="8">
      <c r="A8" s="13" t="s">
        <v>59</v>
      </c>
      <c r="B8" s="5" t="s">
        <v>60</v>
      </c>
      <c r="C8" s="6">
        <v>127.55</v>
      </c>
      <c r="D8" s="14">
        <f>=E8/C8</f>
      </c>
      <c r="E8" s="7">
        <v>57930</v>
      </c>
      <c r="F8" s="15">
        <f>=G8-E8</f>
      </c>
      <c r="G8" s="7">
        <v>73670</v>
      </c>
      <c r="H8" s="7">
        <v>106380</v>
      </c>
      <c r="I8" s="7">
        <v>8340</v>
      </c>
      <c r="J8" s="16">
        <f>=I8/H8</f>
      </c>
      <c r="K8" s="7">
        <v>3450</v>
      </c>
      <c r="L8" s="16">
        <f>=K8/H8</f>
      </c>
      <c r="M8" s="17">
        <v>7.57</v>
      </c>
      <c r="N8" s="18">
        <v>0.0325</v>
      </c>
    </row>
    <row r="9">
      <c r="A9" s="13" t="s">
        <v>61</v>
      </c>
      <c r="B9" s="5" t="s">
        <v>62</v>
      </c>
      <c r="C9" s="6">
        <v>87.52</v>
      </c>
      <c r="D9" s="14">
        <f>=E9/C9</f>
      </c>
      <c r="E9" s="7">
        <v>11180</v>
      </c>
      <c r="F9" s="15">
        <f>=G9-E9</f>
      </c>
      <c r="G9" s="7">
        <v>14010</v>
      </c>
      <c r="H9" s="7">
        <v>21970</v>
      </c>
      <c r="I9" s="7">
        <v>1120</v>
      </c>
      <c r="J9" s="16">
        <f>=I9/H9</f>
      </c>
      <c r="K9" s="7">
        <v>571.34</v>
      </c>
      <c r="L9" s="16">
        <f>=K9/H9</f>
      </c>
      <c r="M9" s="17">
        <v>4.35</v>
      </c>
      <c r="N9" s="18">
        <v>0.0756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28"/>
  <sheetViews>
    <sheetView workbookViewId="0" showGridLines="0" tabSelected="0"/>
  </sheetViews>
  <sheetFormatPr defaultRowHeight="15"/>
  <cols>
    <col min="1" max="1" width="3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</cols>
  <sheetData>
    <row r="1">
      <c r="A1" s="1" t="s">
        <v>63</v>
      </c>
    </row>
    <row r="2">
      <c r="A2" s="2" t="s">
        <v>64</v>
      </c>
    </row>
    <row r="4">
      <c r="A4" s="31" t="s">
        <v>41</v>
      </c>
      <c r="B4" s="31" t="s">
        <v>42</v>
      </c>
      <c r="C4" s="31" t="s">
        <v>65</v>
      </c>
      <c r="D4" s="31" t="s">
        <v>66</v>
      </c>
      <c r="E4" s="31" t="s">
        <v>67</v>
      </c>
      <c r="F4" s="31" t="s">
        <v>68</v>
      </c>
    </row>
    <row r="6">
      <c r="A6" s="32">
        <f>='Comp Set &amp; Financial Data'!A6</f>
      </c>
      <c r="B6" s="33">
        <f>='Comp Set &amp; Financial Data'!B6</f>
      </c>
      <c r="C6" s="34">
        <f>='Comp Set &amp; Financial Data'!G6/'Comp Set &amp; Financial Data'!H6</f>
      </c>
      <c r="D6" s="34">
        <f>='Comp Set &amp; Financial Data'!G6/'Comp Set &amp; Financial Data'!I6</f>
      </c>
      <c r="E6" s="34">
        <f>='Comp Set &amp; Financial Data'!C6/'Comp Set &amp; Financial Data'!M6</f>
      </c>
      <c r="F6" s="35">
        <v>43.27</v>
      </c>
    </row>
    <row r="7">
      <c r="A7" s="9">
        <f>='Comp Set &amp; Financial Data'!A7</f>
      </c>
      <c r="B7" s="29">
        <f>='Comp Set &amp; Financial Data'!B7</f>
      </c>
      <c r="C7" s="30">
        <f>='Comp Set &amp; Financial Data'!G7/'Comp Set &amp; Financial Data'!H7</f>
      </c>
      <c r="D7" s="30">
        <f>='Comp Set &amp; Financial Data'!G7/'Comp Set &amp; Financial Data'!I7</f>
      </c>
      <c r="E7" s="30">
        <f>='Comp Set &amp; Financial Data'!C7/'Comp Set &amp; Financial Data'!M7</f>
      </c>
      <c r="F7" s="8">
        <v>37.42</v>
      </c>
    </row>
    <row r="8">
      <c r="A8" s="9">
        <f>='Comp Set &amp; Financial Data'!A8</f>
      </c>
      <c r="B8" s="29">
        <f>='Comp Set &amp; Financial Data'!B8</f>
      </c>
      <c r="C8" s="30">
        <f>='Comp Set &amp; Financial Data'!G8/'Comp Set &amp; Financial Data'!H8</f>
      </c>
      <c r="D8" s="30">
        <f>='Comp Set &amp; Financial Data'!G8/'Comp Set &amp; Financial Data'!I8</f>
      </c>
      <c r="E8" s="30">
        <f>='Comp Set &amp; Financial Data'!C8/'Comp Set &amp; Financial Data'!M8</f>
      </c>
      <c r="F8" s="8">
        <v>14.93</v>
      </c>
    </row>
    <row r="9">
      <c r="A9" s="9">
        <f>='Comp Set &amp; Financial Data'!A9</f>
      </c>
      <c r="B9" s="29">
        <f>='Comp Set &amp; Financial Data'!B9</f>
      </c>
      <c r="C9" s="30">
        <f>='Comp Set &amp; Financial Data'!G9/'Comp Set &amp; Financial Data'!H9</f>
      </c>
      <c r="D9" s="30">
        <f>='Comp Set &amp; Financial Data'!G9/'Comp Set &amp; Financial Data'!I9</f>
      </c>
      <c r="E9" s="30">
        <f>='Comp Set &amp; Financial Data'!C9/'Comp Set &amp; Financial Data'!M9</f>
      </c>
      <c r="F9" s="8">
        <v>18.88</v>
      </c>
    </row>
    <row r="11">
      <c r="B11" s="3" t="s">
        <v>69</v>
      </c>
      <c r="C11" s="37">
        <f>=AVERAGE(C7:C9)</f>
      </c>
      <c r="D11" s="37">
        <f>=AVERAGE(D7:D9)</f>
      </c>
      <c r="E11" s="37">
        <f>=AVERAGE(E7:E9)</f>
      </c>
      <c r="F11" s="37">
        <f>=AVERAGE(F7:F9)</f>
      </c>
    </row>
    <row r="12">
      <c r="B12" s="3" t="s">
        <v>70</v>
      </c>
      <c r="C12" s="36">
        <f>=MEDIAN(C7:C9)</f>
      </c>
      <c r="D12" s="36">
        <f>=MEDIAN(D7:D9)</f>
      </c>
      <c r="E12" s="36">
        <f>=MEDIAN(E7:E9)</f>
      </c>
      <c r="F12" s="36">
        <f>=MEDIAN(F7:F9)</f>
      </c>
    </row>
    <row r="15">
      <c r="A15" s="3" t="s">
        <v>71</v>
      </c>
    </row>
    <row r="16">
      <c r="A16" s="2" t="s">
        <v>72</v>
      </c>
    </row>
    <row r="18">
      <c r="A18" s="38" t="s">
        <v>73</v>
      </c>
      <c r="B18" s="38" t="s">
        <v>74</v>
      </c>
      <c r="C18" s="38" t="s">
        <v>75</v>
      </c>
      <c r="D18" s="38" t="s">
        <v>76</v>
      </c>
      <c r="E18" s="38" t="s">
        <v>77</v>
      </c>
      <c r="F18" s="38" t="s">
        <v>78</v>
      </c>
      <c r="G18" s="38" t="s">
        <v>79</v>
      </c>
      <c r="H18" s="38" t="s">
        <v>80</v>
      </c>
    </row>
    <row r="19">
      <c r="A19" s="4" t="s">
        <v>81</v>
      </c>
      <c r="B19" s="39">
        <f>=D11</f>
      </c>
      <c r="C19" s="40">
        <f>='Comp Set &amp; Financial Data'!I6</f>
      </c>
      <c r="D19" s="15">
        <f>=B19*C19</f>
      </c>
      <c r="E19" s="40">
        <f>='Comp Set &amp; Financial Data'!F6</f>
      </c>
      <c r="F19" s="15">
        <f>=D19-E19</f>
      </c>
      <c r="G19" s="41">
        <f>='Comp Set &amp; Financial Data'!D6</f>
      </c>
      <c r="H19" s="42">
        <f>=F19/G19</f>
      </c>
    </row>
    <row r="20">
      <c r="A20" s="4" t="s">
        <v>82</v>
      </c>
      <c r="B20" s="39">
        <f>=C11</f>
      </c>
      <c r="C20" s="40">
        <f>='Comp Set &amp; Financial Data'!H6</f>
      </c>
      <c r="D20" s="15">
        <f>=B20*C20</f>
      </c>
      <c r="E20" s="40">
        <f>='Comp Set &amp; Financial Data'!F6</f>
      </c>
      <c r="F20" s="15">
        <f>=D20-E20</f>
      </c>
      <c r="G20" s="41">
        <f>='Comp Set &amp; Financial Data'!D6</f>
      </c>
      <c r="H20" s="42">
        <f>=F20/G20</f>
      </c>
    </row>
    <row r="21">
      <c r="A21" s="4" t="s">
        <v>83</v>
      </c>
      <c r="B21" s="39">
        <f>=E11</f>
      </c>
      <c r="C21" s="43">
        <f>='Comp Set &amp; Financial Data'!M6</f>
      </c>
      <c r="D21" s="2" t="s">
        <v>84</v>
      </c>
      <c r="E21" s="2" t="s">
        <v>85</v>
      </c>
      <c r="F21" s="2" t="s">
        <v>85</v>
      </c>
      <c r="G21" s="2" t="s">
        <v>85</v>
      </c>
      <c r="H21" s="42">
        <f>=B21*C21</f>
      </c>
    </row>
    <row r="22">
      <c r="A22" s="44"/>
      <c r="B22" s="44"/>
      <c r="C22" s="44"/>
      <c r="D22" s="44"/>
      <c r="E22" s="44"/>
      <c r="F22" s="44"/>
      <c r="G22" s="44"/>
      <c r="H22" s="44"/>
    </row>
    <row r="23">
      <c r="A23" s="3" t="s">
        <v>86</v>
      </c>
    </row>
    <row r="24">
      <c r="A24" s="4" t="s">
        <v>87</v>
      </c>
      <c r="C24" s="45">
        <f>=H19</f>
      </c>
    </row>
    <row r="25">
      <c r="A25" s="4" t="s">
        <v>88</v>
      </c>
      <c r="C25" s="45">
        <f>=H20</f>
      </c>
    </row>
    <row r="26">
      <c r="A26" s="4" t="s">
        <v>89</v>
      </c>
      <c r="C26" s="45">
        <f>=H21</f>
      </c>
    </row>
    <row r="27">
      <c r="A27" s="3" t="s">
        <v>90</v>
      </c>
      <c r="C27" s="45">
        <f>=AVERAGE(C24:C26)</f>
      </c>
    </row>
    <row r="28">
      <c r="A28" s="3" t="s">
        <v>91</v>
      </c>
      <c r="C28" s="11">
        <f>='Comp Set &amp; Financial Data'!C6/C27-1</f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19"/>
  <sheetViews>
    <sheetView workbookViewId="0" showGridLines="0" tabSelected="0"/>
  </sheetViews>
  <sheetFormatPr defaultRowHeight="15"/>
  <cols>
    <col min="1" max="1" width="46" customWidth="1"/>
    <col min="2" max="2" width="46" customWidth="1"/>
    <col min="3" max="3" width="46" customWidth="1"/>
  </cols>
  <sheetData>
    <row r="1">
      <c r="A1" s="1" t="s">
        <v>92</v>
      </c>
    </row>
    <row r="2">
      <c r="A2" s="2" t="s">
        <v>93</v>
      </c>
    </row>
    <row r="4">
      <c r="A4" s="38" t="s">
        <v>94</v>
      </c>
      <c r="B4" s="38" t="s">
        <v>95</v>
      </c>
      <c r="C4" s="38" t="s">
        <v>96</v>
      </c>
    </row>
    <row r="5">
      <c r="A5" s="4" t="s">
        <v>97</v>
      </c>
      <c r="B5" s="12" t="s">
        <v>98</v>
      </c>
      <c r="C5" s="12" t="s">
        <v>99</v>
      </c>
    </row>
    <row r="6">
      <c r="A6" s="4" t="s">
        <v>100</v>
      </c>
      <c r="B6" s="12" t="s">
        <v>101</v>
      </c>
      <c r="C6" s="12" t="s">
        <v>102</v>
      </c>
    </row>
    <row r="7">
      <c r="A7" s="4" t="s">
        <v>103</v>
      </c>
      <c r="B7" s="12" t="s">
        <v>104</v>
      </c>
      <c r="C7" s="12" t="s">
        <v>105</v>
      </c>
    </row>
    <row r="8">
      <c r="A8" s="4" t="s">
        <v>106</v>
      </c>
      <c r="B8" s="12" t="s">
        <v>107</v>
      </c>
      <c r="C8" s="12" t="s">
        <v>108</v>
      </c>
    </row>
    <row r="10">
      <c r="A10" s="3" t="s">
        <v>109</v>
      </c>
    </row>
    <row r="11">
      <c r="A11" s="12" t="s">
        <v>110</v>
      </c>
    </row>
    <row r="13">
      <c r="A13" s="12" t="s">
        <v>111</v>
      </c>
    </row>
    <row r="15">
      <c r="A15" s="12" t="s">
        <v>112</v>
      </c>
    </row>
    <row r="17">
      <c r="A17" s="12" t="s">
        <v>113</v>
      </c>
    </row>
    <row r="19">
      <c r="A19" s="12" t="s">
        <v>114</v>
      </c>
    </row>
  </sheetData>
  <mergeCells>
    <mergeCell ref="A11:C11"/>
    <mergeCell ref="A13:C13"/>
    <mergeCell ref="A15:C15"/>
    <mergeCell ref="A17:C17"/>
    <mergeCell ref="A19:C19"/>
  </mergeCells>
  <headerFooter/>
</worksheet>
</file>