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BO Model" sheetId="1" r:id="rId4"/>
    <sheet state="visible" name="Income Statement" sheetId="2" r:id="rId5"/>
    <sheet state="visible" name="Returns" sheetId="3" r:id="rId6"/>
  </sheets>
  <definedNames/>
  <calcPr/>
  <extLst>
    <ext uri="GoogleSheetsCustomDataVersion2">
      <go:sheetsCustomData xmlns:go="http://customooxmlschemas.google.com/" r:id="rId7" roundtripDataChecksum="Q9fs3drIWZ0ijDNyehdNSA/7lncd2htIa1QeY5oY5r0="/>
    </ext>
  </extLst>
</workbook>
</file>

<file path=xl/sharedStrings.xml><?xml version="1.0" encoding="utf-8"?>
<sst xmlns="http://schemas.openxmlformats.org/spreadsheetml/2006/main" count="154" uniqueCount="130">
  <si>
    <t>The Wendy's Company (NASDAQ: WEN)  —  Leveraged Buyout (LBO) Model</t>
  </si>
  <si>
    <t>Hypothetical Take-Private  |  Sponsor: Trian Fund Management (largest shareholder, exploring take-private per FT June 2026)  |  Valuation Date: 6/19/2026  |  All figures USD millions unless noted</t>
  </si>
  <si>
    <t>Assumptions</t>
  </si>
  <si>
    <t>Financials</t>
  </si>
  <si>
    <t>Capital Structure</t>
  </si>
  <si>
    <t>Entry ($mm)</t>
  </si>
  <si>
    <t>LTM Financials</t>
  </si>
  <si>
    <t>Amount</t>
  </si>
  <si>
    <t>Cost</t>
  </si>
  <si>
    <t>LTM EBITDA</t>
  </si>
  <si>
    <t>Revenue</t>
  </si>
  <si>
    <t>Bank Debt (Term Loan B)</t>
  </si>
  <si>
    <t>Source: WEN Q4 2024 Earnings Release 2/13/2025 (ir.wendys.com) — FY2024 Adjusted EBITDA $543.6mm</t>
  </si>
  <si>
    <t>EBITDA Multiple</t>
  </si>
  <si>
    <t>EBITDA</t>
  </si>
  <si>
    <t>Senior Secured Notes</t>
  </si>
  <si>
    <t>Source: WEN 10-K FY2024 (filed 2/13/2025, SEC EDGAR CIK 0000030697) — Revenue $2,246mm</t>
  </si>
  <si>
    <t>Enterprise Value</t>
  </si>
  <si>
    <t>D&amp;A</t>
  </si>
  <si>
    <t>D&amp;A est. ~$162mm: derived from WEN FY2024 operating profit reconciliation</t>
  </si>
  <si>
    <t>Existing Net Debt</t>
  </si>
  <si>
    <t>CapEx</t>
  </si>
  <si>
    <t>For Reference</t>
  </si>
  <si>
    <t>Net Debt: WEN total debt ~$2,700mm (Trefis, 12/29/2024) minus cash $299mm (Yahoo Finance, 6/2026)</t>
  </si>
  <si>
    <t>Equity Value</t>
  </si>
  <si>
    <t>NWC Change</t>
  </si>
  <si>
    <t>IRR</t>
  </si>
  <si>
    <t>CapEx $94.4mm: Trefis / WEN 10-K FY2024; NWC ~$0 (asset-light franchise model)</t>
  </si>
  <si>
    <t>Fees &amp; Expenses</t>
  </si>
  <si>
    <t>Exit ($mm)</t>
  </si>
  <si>
    <t>Operating Assumptions</t>
  </si>
  <si>
    <t>Revenue Growth</t>
  </si>
  <si>
    <t>YoY EBITDA Margin Expansion</t>
  </si>
  <si>
    <t>Tax Rate</t>
  </si>
  <si>
    <t>Sources and Uses</t>
  </si>
  <si>
    <t>Sources</t>
  </si>
  <si>
    <t>Uses</t>
  </si>
  <si>
    <t>xEBITDA</t>
  </si>
  <si>
    <t>% Capital</t>
  </si>
  <si>
    <t>% Total Uses</t>
  </si>
  <si>
    <t>Equity Purchase Price</t>
  </si>
  <si>
    <t>Refinance Existing Net Debt</t>
  </si>
  <si>
    <t>Total Debt</t>
  </si>
  <si>
    <t>Sponsor Equity</t>
  </si>
  <si>
    <t>Total Sources</t>
  </si>
  <si>
    <t>Total Uses</t>
  </si>
  <si>
    <t>DATA SOURCES: LTM EBITDA $543.6mm — Wendy's Q4 &amp; FY2024 Earnings Release (2/13/2025, ir.wendys.com). Revenue $2,246mm — WEN Form 10-K FY2024 (SEC EDGAR CIK 0000030697, filed 2/13/2025). CapEx $94.4mm — Trefis/WEN 10-K FY2024. D&amp;A ~$162mm — estimated from operating profit bridge.</t>
  </si>
  <si>
    <t>Net Debt: WEN total debt ~$2,700mm (Trefis, as of 12/29/2024) minus cash $298.7mm (Yahoo Finance, 6/17/2026) = ~$2,401mm net debt. Shares ~200.5mm; stock price $6.95 (MacroTrends, 6/17/2026). Entry 9.5x EV/EBITDA — ~30% premium to current trading ~10x but on normalised earnings; Trian Fund confirmed exploring take-private per FT reporting, June 2026.</t>
  </si>
  <si>
    <t>The Wendy's Company — Pro Forma Income Statement &amp; Debt Schedule</t>
  </si>
  <si>
    <t>All figures USD millions | LTM 2024A = actual | 2025E–2029E = projected | Inputs flow from LBO Model tab</t>
  </si>
  <si>
    <t>LTM 2024A</t>
  </si>
  <si>
    <t>2025E</t>
  </si>
  <si>
    <t>2026E</t>
  </si>
  <si>
    <t>2027E</t>
  </si>
  <si>
    <t>2028E</t>
  </si>
  <si>
    <t>2029E</t>
  </si>
  <si>
    <t>INCOME STATEMENT</t>
  </si>
  <si>
    <t>Revenue ($mm)</t>
  </si>
  <si>
    <t>Revenue $2,246mm: WEN 10-K FY2024 (SEC EDGAR CIK 0000030697, filed 2/13/2025)</t>
  </si>
  <si>
    <t>Adjusted EBITDA ($mm)</t>
  </si>
  <si>
    <t>Adj. EBITDA $543.6mm: WEN Q4&amp;FY2024 Earnings Release (2/13/2025, ir.wendys.com); grows via 3% revenue growth + 50bps margin expansion/yr</t>
  </si>
  <si>
    <t xml:space="preserve">      EBITDA Margin %</t>
  </si>
  <si>
    <t xml:space="preserve">      Less: D&amp;A</t>
  </si>
  <si>
    <t>D&amp;A ~$162mm: estimated from WEN FY2024 operating profit bridge; grows 3%/yr</t>
  </si>
  <si>
    <t>EBIT ($mm)</t>
  </si>
  <si>
    <t xml:space="preserve">      Less: Interest Expense</t>
  </si>
  <si>
    <t>EBT (Pre-Tax Income)</t>
  </si>
  <si>
    <t xml:space="preserve">      Less: Taxes</t>
  </si>
  <si>
    <t>Net Income ($mm)</t>
  </si>
  <si>
    <t>UNLEVERED FREE CASH FLOW</t>
  </si>
  <si>
    <t xml:space="preserve">      Less: Cash CapEx</t>
  </si>
  <si>
    <t>CapEx $94.4mm FY2024: Trefis/WEN 10-K FY2024; grows 2%/yr in projections</t>
  </si>
  <si>
    <t xml:space="preserve">      Less: Change in NWC</t>
  </si>
  <si>
    <t xml:space="preserve">      Less: Cash Taxes</t>
  </si>
  <si>
    <t>Unlevered FCF (for Debt Service)</t>
  </si>
  <si>
    <t>DEBT SCHEDULE</t>
  </si>
  <si>
    <t>Bank Debt — Beginning of Year</t>
  </si>
  <si>
    <t xml:space="preserve">      Mandatory Amortization (1%/yr)</t>
  </si>
  <si>
    <t>Mandatory amort: 1% of original Bank Debt principal per year (standard TLB term)</t>
  </si>
  <si>
    <t xml:space="preserve">      Cash Flow Sweep (50% Excess FCF)</t>
  </si>
  <si>
    <t>50% cash sweep of levered FCF applied to Bank Debt prepayment (standard PE debt structure)</t>
  </si>
  <si>
    <t>Bank Debt — End of Year</t>
  </si>
  <si>
    <t>Senior Secured Notes — Beginning of Year</t>
  </si>
  <si>
    <t>Senior Secured Notes — End of Year (Bullet)</t>
  </si>
  <si>
    <t>Senior Secured Notes modeled as bullet maturity — no scheduled annual paydown</t>
  </si>
  <si>
    <t xml:space="preserve">  [Bank Debt EOY – helper row for interest calc]</t>
  </si>
  <si>
    <t xml:space="preserve">  [Notes EOY – helper row for interest calc]</t>
  </si>
  <si>
    <t>CREDIT METRICS</t>
  </si>
  <si>
    <t>Total Debt / EBITDA</t>
  </si>
  <si>
    <t>Net Debt / EBITDA (assume $100mm min cash)</t>
  </si>
  <si>
    <t>Interest Coverage (EBITDA / Interest Expense)</t>
  </si>
  <si>
    <t>The Wendy's Company — LBO Returns Analysis (5-Year Hold)</t>
  </si>
  <si>
    <t>All figures USD millions | Entry 2026 → Exit 2031 (5-year hold) | Exit via IPO or strategic sale</t>
  </si>
  <si>
    <t>Entry
(Yr 0)</t>
  </si>
  <si>
    <t>Year 1
2025E</t>
  </si>
  <si>
    <t>Year 2
2026E</t>
  </si>
  <si>
    <t>Year 3
2027E</t>
  </si>
  <si>
    <t>Year 4
2028E</t>
  </si>
  <si>
    <t>Year 5
2029E</t>
  </si>
  <si>
    <t>EXIT VALUATION (YEAR 5 — 2029E)</t>
  </si>
  <si>
    <t>Exit Year EBITDA ($mm)</t>
  </si>
  <si>
    <t>Exit EV / EBITDA Multiple</t>
  </si>
  <si>
    <t>Exit Enterprise Value ($mm)</t>
  </si>
  <si>
    <t xml:space="preserve">   Less: Total Debt at Exit</t>
  </si>
  <si>
    <t xml:space="preserve">   Plus: Minimum Cash ($mm)</t>
  </si>
  <si>
    <t>Exit Equity Value ($mm)</t>
  </si>
  <si>
    <t>SPONSOR CASH FLOWS</t>
  </si>
  <si>
    <t>Equity Invested at Entry (Year 0, outflow)</t>
  </si>
  <si>
    <t xml:space="preserve">   Dividends / Distributions to Sponsor</t>
  </si>
  <si>
    <t>Exit Proceeds (Year 5, inflow)</t>
  </si>
  <si>
    <t>Net Sponsor Cash Flow ($mm)</t>
  </si>
  <si>
    <t>RETURNS SUMMARY</t>
  </si>
  <si>
    <t>Equity Invested ($mm)</t>
  </si>
  <si>
    <t>Hold Period (Years)</t>
  </si>
  <si>
    <t>Money-on-Money Multiple (MoM)</t>
  </si>
  <si>
    <t>Gross IRR (5-Year Hold)</t>
  </si>
  <si>
    <t>Entry EV / EBITDA Multiple</t>
  </si>
  <si>
    <t>Entry Total Debt / EBITDA</t>
  </si>
  <si>
    <t>Exit Total Debt / EBITDA</t>
  </si>
  <si>
    <t>IRR SENSITIVITY — Entry EV/EBITDA Multiple vs. Exit EV/EBITDA Multiple</t>
  </si>
  <si>
    <t>Entry ↓  /  Exit →</t>
  </si>
  <si>
    <t>8.0x</t>
  </si>
  <si>
    <t>9.0x</t>
  </si>
  <si>
    <t>10.0x</t>
  </si>
  <si>
    <t>11.0x</t>
  </si>
  <si>
    <t>12.0x</t>
  </si>
  <si>
    <t>8.5x</t>
  </si>
  <si>
    <t>9.5x</t>
  </si>
  <si>
    <t>10.5x</t>
  </si>
  <si>
    <t>NOTES: IRR = Internal Rate of Return on sponsor equity over 5-year hold. Entry equity = EV – existing net debt ($2,401mm) – fees ($150mm). Exit equity = Exit EV (EBITDA × multiple) – remaining debt at exit + $100mm min cash. Sensitivity table uses compound-growth approximation ((Exit/Entry)^(1/5)−1). Base case (9.5x entry / 10.0x exit) highlighted yellow. No mid-hold dividends modeled. Wendy's current public dividend ($0.25/share/quarter ~$200mm/yr) assumed terminated at close.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</si>
</sst>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\$#,##0;&quot;($&quot;#,##0\);\-"/>
    <numFmt numFmtId="165" formatCode="0.0%;\(0.0%\);\-"/>
    <numFmt numFmtId="166" formatCode="0.0\x;\(0.0&quot;x)&quot;;\-"/>
    <numFmt numFmtId="167" formatCode="0.00%;\(0.00%\);\-"/>
    <numFmt numFmtId="168" formatCode="0.0\x"/>
    <numFmt numFmtId="169" formatCode="0&quot;yr&quot;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1F4E79"/>
      <name val="Arial"/>
    </font>
    <font>
      <i/>
      <sz val="8.0"/>
      <color rgb="FF595959"/>
      <name val="Arial"/>
    </font>
    <font>
      <b/>
      <sz val="10.0"/>
      <color rgb="FFFFFFFF"/>
      <name val="Arial"/>
    </font>
    <font/>
    <font>
      <b/>
      <sz val="9.0"/>
      <color rgb="FF1F4E79"/>
      <name val="Arial"/>
    </font>
    <font>
      <b/>
      <sz val="9.0"/>
      <color theme="1"/>
      <name val="Arial"/>
    </font>
    <font>
      <sz val="10.0"/>
      <color theme="1"/>
      <name val="Arial"/>
    </font>
    <font>
      <sz val="10.0"/>
      <color rgb="FF0000FF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b/>
      <sz val="11.0"/>
      <color rgb="FF008000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sz val="10.0"/>
      <color rgb="FF008000"/>
      <name val="Arial"/>
    </font>
    <font>
      <sz val="10.0"/>
      <color rgb="FF000000"/>
      <name val="Arial"/>
    </font>
    <font>
      <b/>
      <sz val="10.0"/>
      <color rgb="FF008000"/>
      <name val="Arial"/>
    </font>
    <font>
      <b/>
      <sz val="13.0"/>
      <color rgb="FF1F4E79"/>
      <name val="Arial"/>
    </font>
    <font>
      <b/>
      <sz val="10.0"/>
      <color rgb="FF0000FF"/>
      <name val="Arial"/>
    </font>
    <font>
      <i/>
      <sz val="7.0"/>
      <color rgb="FF595959"/>
      <name val="Arial"/>
    </font>
    <font>
      <sz val="10.0"/>
      <color rgb="FFC00000"/>
      <name val="Arial"/>
    </font>
    <font>
      <b/>
      <sz val="10.0"/>
      <color rgb="FFC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2E75B6"/>
        <bgColor rgb="FF2E75B6"/>
      </patternFill>
    </fill>
    <fill>
      <patternFill patternType="solid">
        <fgColor rgb="FFFFE6E6"/>
        <bgColor rgb="FFFFE6E6"/>
      </patternFill>
    </fill>
    <fill>
      <patternFill patternType="solid">
        <fgColor rgb="FFF9F9F9"/>
        <bgColor rgb="FFF9F9F9"/>
      </patternFill>
    </fill>
  </fills>
  <borders count="10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ck">
        <color rgb="FF1F4E79"/>
      </left>
      <top style="thick">
        <color rgb="FF1F4E79"/>
      </top>
      <bottom style="thick">
        <color rgb="FF1F4E79"/>
      </bottom>
    </border>
    <border>
      <right style="thick">
        <color rgb="FF1F4E79"/>
      </right>
      <top style="thick">
        <color rgb="FF1F4E79"/>
      </top>
      <bottom style="thick">
        <color rgb="FF1F4E79"/>
      </bottom>
    </border>
    <border>
      <left style="thin">
        <color rgb="FFBFBFBF"/>
      </left>
      <right style="thin">
        <color rgb="FFBFBFBF"/>
      </right>
      <top style="medium">
        <color rgb="FF1F4E79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left" shrinkToFit="0" vertical="center" wrapText="0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4" fillId="0" fontId="7" numFmtId="0" xfId="0" applyAlignment="1" applyBorder="1" applyFont="1">
      <alignment horizontal="center" shrinkToFit="0" vertical="bottom" wrapText="0"/>
    </xf>
    <xf borderId="4" fillId="3" fontId="7" numFmtId="0" xfId="0" applyAlignment="1" applyBorder="1" applyFill="1" applyFont="1">
      <alignment horizontal="center" shrinkToFit="0" vertical="bottom" wrapText="0"/>
    </xf>
    <xf borderId="0" fillId="0" fontId="8" numFmtId="0" xfId="0" applyAlignment="1" applyFont="1">
      <alignment horizontal="left" shrinkToFit="0" vertical="center" wrapText="0"/>
    </xf>
    <xf borderId="4" fillId="0" fontId="9" numFmtId="164" xfId="0" applyAlignment="1" applyBorder="1" applyFont="1" applyNumberFormat="1">
      <alignment horizontal="right" shrinkToFit="0" vertical="center" wrapText="0"/>
    </xf>
    <xf borderId="4" fillId="0" fontId="9" numFmtId="165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shrinkToFit="0" vertical="top" wrapText="1"/>
    </xf>
    <xf borderId="4" fillId="0" fontId="9" numFmtId="166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shrinkToFit="0" vertical="bottom" wrapText="1"/>
    </xf>
    <xf borderId="0" fillId="0" fontId="10" numFmtId="0" xfId="0" applyAlignment="1" applyFont="1">
      <alignment horizontal="left" shrinkToFit="0" vertical="center" wrapText="0"/>
    </xf>
    <xf borderId="4" fillId="4" fontId="11" numFmtId="164" xfId="0" applyAlignment="1" applyBorder="1" applyFill="1" applyFont="1" applyNumberFormat="1">
      <alignment horizontal="right" shrinkToFit="0" vertical="center" wrapText="0"/>
    </xf>
    <xf borderId="0" fillId="0" fontId="7" numFmtId="0" xfId="0" applyAlignment="1" applyFont="1">
      <alignment shrinkToFit="0" vertical="bottom" wrapText="0"/>
    </xf>
    <xf borderId="5" fillId="5" fontId="12" numFmtId="167" xfId="0" applyAlignment="1" applyBorder="1" applyFill="1" applyFont="1" applyNumberFormat="1">
      <alignment horizontal="center" shrinkToFit="0" vertical="bottom" wrapText="0"/>
    </xf>
    <xf borderId="6" fillId="0" fontId="5" numFmtId="0" xfId="0" applyBorder="1" applyFont="1"/>
    <xf borderId="1" fillId="6" fontId="4" numFmtId="0" xfId="0" applyAlignment="1" applyBorder="1" applyFill="1" applyFont="1">
      <alignment horizontal="left" shrinkToFit="0" vertical="center" wrapText="0"/>
    </xf>
    <xf borderId="1" fillId="2" fontId="13" numFmtId="0" xfId="0" applyAlignment="1" applyBorder="1" applyFont="1">
      <alignment horizontal="left" shrinkToFit="0" vertical="center" wrapText="0"/>
    </xf>
    <xf borderId="4" fillId="3" fontId="14" numFmtId="0" xfId="0" applyAlignment="1" applyBorder="1" applyFont="1">
      <alignment horizontal="center" shrinkToFit="0" vertical="center" wrapText="0"/>
    </xf>
    <xf borderId="4" fillId="0" fontId="15" numFmtId="164" xfId="0" applyAlignment="1" applyBorder="1" applyFont="1" applyNumberFormat="1">
      <alignment horizontal="right" shrinkToFit="0" vertical="center" wrapText="0"/>
    </xf>
    <xf borderId="4" fillId="0" fontId="15" numFmtId="166" xfId="0" applyAlignment="1" applyBorder="1" applyFont="1" applyNumberFormat="1">
      <alignment horizontal="right" shrinkToFit="0" vertical="center" wrapText="0"/>
    </xf>
    <xf borderId="4" fillId="0" fontId="16" numFmtId="165" xfId="0" applyAlignment="1" applyBorder="1" applyFont="1" applyNumberFormat="1">
      <alignment horizontal="right" shrinkToFit="0" vertical="center" wrapText="0"/>
    </xf>
    <xf borderId="4" fillId="0" fontId="11" numFmtId="166" xfId="0" applyAlignment="1" applyBorder="1" applyFont="1" applyNumberFormat="1">
      <alignment horizontal="right" shrinkToFit="0" vertical="center" wrapText="0"/>
    </xf>
    <xf borderId="4" fillId="0" fontId="11" numFmtId="165" xfId="0" applyAlignment="1" applyBorder="1" applyFont="1" applyNumberFormat="1">
      <alignment horizontal="right" shrinkToFit="0" vertical="center" wrapText="0"/>
    </xf>
    <xf borderId="4" fillId="0" fontId="16" numFmtId="164" xfId="0" applyAlignment="1" applyBorder="1" applyFont="1" applyNumberFormat="1">
      <alignment horizontal="right" shrinkToFit="0" vertical="center" wrapText="0"/>
    </xf>
    <xf borderId="4" fillId="0" fontId="16" numFmtId="166" xfId="0" applyAlignment="1" applyBorder="1" applyFont="1" applyNumberFormat="1">
      <alignment horizontal="right" shrinkToFit="0" vertical="center" wrapText="0"/>
    </xf>
    <xf borderId="7" fillId="5" fontId="11" numFmtId="164" xfId="0" applyAlignment="1" applyBorder="1" applyFont="1" applyNumberFormat="1">
      <alignment horizontal="right" shrinkToFit="0" vertical="center" wrapText="0"/>
    </xf>
    <xf borderId="4" fillId="0" fontId="17" numFmtId="49" xfId="0" applyAlignment="1" applyBorder="1" applyFont="1" applyNumberFormat="1">
      <alignment horizontal="right" shrinkToFit="0" vertical="center" wrapText="0"/>
    </xf>
    <xf borderId="0" fillId="0" fontId="18" numFmtId="0" xfId="0" applyAlignment="1" applyFont="1">
      <alignment shrinkToFit="0" vertical="bottom" wrapText="0"/>
    </xf>
    <xf borderId="4" fillId="3" fontId="10" numFmtId="0" xfId="0" applyAlignment="1" applyBorder="1" applyFont="1">
      <alignment horizontal="center" shrinkToFit="0" vertical="bottom" wrapText="0"/>
    </xf>
    <xf borderId="8" fillId="0" fontId="5" numFmtId="0" xfId="0" applyBorder="1" applyFont="1"/>
    <xf borderId="0" fillId="0" fontId="11" numFmtId="0" xfId="0" applyAlignment="1" applyFont="1">
      <alignment horizontal="left" shrinkToFit="0" vertical="center" wrapText="0"/>
    </xf>
    <xf borderId="4" fillId="0" fontId="19" numFmtId="164" xfId="0" applyAlignment="1" applyBorder="1" applyFont="1" applyNumberFormat="1">
      <alignment horizontal="right" shrinkToFit="0" vertical="center" wrapText="0"/>
    </xf>
    <xf borderId="4" fillId="0" fontId="11" numFmtId="164" xfId="0" applyAlignment="1" applyBorder="1" applyFont="1" applyNumberFormat="1">
      <alignment horizontal="right" shrinkToFit="0" vertical="center" wrapText="0"/>
    </xf>
    <xf borderId="0" fillId="0" fontId="16" numFmtId="0" xfId="0" applyAlignment="1" applyFont="1">
      <alignment horizontal="left" shrinkToFit="0" vertical="center" wrapText="0"/>
    </xf>
    <xf borderId="4" fillId="7" fontId="11" numFmtId="164" xfId="0" applyAlignment="1" applyBorder="1" applyFill="1" applyFont="1" applyNumberFormat="1">
      <alignment horizontal="right" shrinkToFit="0" vertical="center" wrapText="0"/>
    </xf>
    <xf borderId="1" fillId="8" fontId="4" numFmtId="0" xfId="0" applyAlignment="1" applyBorder="1" applyFill="1" applyFont="1">
      <alignment horizontal="left" shrinkToFit="0" vertical="center" wrapText="0"/>
    </xf>
    <xf borderId="4" fillId="0" fontId="17" numFmtId="164" xfId="0" applyAlignment="1" applyBorder="1" applyFont="1" applyNumberFormat="1">
      <alignment horizontal="right" shrinkToFit="0" vertical="center" wrapText="0"/>
    </xf>
    <xf borderId="9" fillId="5" fontId="11" numFmtId="164" xfId="0" applyAlignment="1" applyBorder="1" applyFont="1" applyNumberFormat="1">
      <alignment horizontal="right" shrinkToFit="0" vertical="center" wrapText="0"/>
    </xf>
    <xf borderId="0" fillId="0" fontId="20" numFmtId="0" xfId="0" applyAlignment="1" applyFont="1">
      <alignment shrinkToFit="0" vertical="bottom" wrapText="0"/>
    </xf>
    <xf borderId="0" fillId="0" fontId="16" numFmtId="164" xfId="0" applyAlignment="1" applyFont="1" applyNumberFormat="1">
      <alignment shrinkToFit="0" vertical="bottom" wrapText="0"/>
    </xf>
    <xf borderId="9" fillId="5" fontId="11" numFmtId="166" xfId="0" applyAlignment="1" applyBorder="1" applyFont="1" applyNumberFormat="1">
      <alignment horizontal="right" shrinkToFit="0" vertical="center" wrapText="0"/>
    </xf>
    <xf borderId="4" fillId="0" fontId="16" numFmtId="168" xfId="0" applyAlignment="1" applyBorder="1" applyFont="1" applyNumberFormat="1">
      <alignment horizontal="right" shrinkToFit="0" vertical="center" wrapText="0"/>
    </xf>
    <xf borderId="4" fillId="3" fontId="7" numFmtId="0" xfId="0" applyAlignment="1" applyBorder="1" applyFont="1">
      <alignment horizontal="center" shrinkToFit="0" vertical="bottom" wrapText="1"/>
    </xf>
    <xf borderId="4" fillId="0" fontId="17" numFmtId="166" xfId="0" applyAlignment="1" applyBorder="1" applyFont="1" applyNumberFormat="1">
      <alignment horizontal="right" shrinkToFit="0" vertical="center" wrapText="0"/>
    </xf>
    <xf borderId="4" fillId="0" fontId="21" numFmtId="164" xfId="0" applyAlignment="1" applyBorder="1" applyFont="1" applyNumberFormat="1">
      <alignment horizontal="right" shrinkToFit="0" vertical="center" wrapText="0"/>
    </xf>
    <xf borderId="4" fillId="9" fontId="22" numFmtId="164" xfId="0" applyAlignment="1" applyBorder="1" applyFill="1" applyFont="1" applyNumberFormat="1">
      <alignment horizontal="right" shrinkToFit="0" vertical="center" wrapText="0"/>
    </xf>
    <xf borderId="4" fillId="0" fontId="8" numFmtId="164" xfId="0" applyAlignment="1" applyBorder="1" applyFont="1" applyNumberFormat="1">
      <alignment shrinkToFit="0" vertical="bottom" wrapText="0"/>
    </xf>
    <xf borderId="4" fillId="7" fontId="17" numFmtId="164" xfId="0" applyAlignment="1" applyBorder="1" applyFont="1" applyNumberFormat="1">
      <alignment horizontal="right" shrinkToFit="0" vertical="center" wrapText="0"/>
    </xf>
    <xf borderId="4" fillId="0" fontId="9" numFmtId="169" xfId="0" applyAlignment="1" applyBorder="1" applyFont="1" applyNumberFormat="1">
      <alignment horizontal="right" shrinkToFit="0" vertical="center" wrapText="0"/>
    </xf>
    <xf borderId="9" fillId="5" fontId="11" numFmtId="168" xfId="0" applyAlignment="1" applyBorder="1" applyFont="1" applyNumberFormat="1">
      <alignment horizontal="right" shrinkToFit="0" vertical="center" wrapText="0"/>
    </xf>
    <xf borderId="9" fillId="5" fontId="11" numFmtId="167" xfId="0" applyAlignment="1" applyBorder="1" applyFont="1" applyNumberFormat="1">
      <alignment horizontal="right" shrinkToFit="0" vertical="center" wrapText="0"/>
    </xf>
    <xf borderId="9" fillId="5" fontId="12" numFmtId="167" xfId="0" applyAlignment="1" applyBorder="1" applyFont="1" applyNumberFormat="1">
      <alignment shrinkToFit="0" vertical="bottom" wrapText="0"/>
    </xf>
    <xf borderId="4" fillId="10" fontId="8" numFmtId="165" xfId="0" applyAlignment="1" applyBorder="1" applyFill="1" applyFont="1" applyNumberFormat="1">
      <alignment horizontal="center" shrinkToFit="0" vertical="bottom" wrapText="0"/>
    </xf>
    <xf borderId="4" fillId="0" fontId="8" numFmtId="165" xfId="0" applyAlignment="1" applyBorder="1" applyFont="1" applyNumberFormat="1">
      <alignment horizontal="center" shrinkToFit="0" vertical="bottom" wrapText="0"/>
    </xf>
    <xf borderId="4" fillId="5" fontId="10" numFmtId="165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24.0"/>
    <col customWidth="1" min="3" max="3" width="11.0"/>
    <col customWidth="1" min="4" max="5" width="10.0"/>
    <col customWidth="1" min="6" max="6" width="1.57"/>
    <col customWidth="1" min="7" max="7" width="24.0"/>
    <col customWidth="1" min="8" max="9" width="10.0"/>
    <col customWidth="1" min="10" max="10" width="1.57"/>
    <col customWidth="1" min="11" max="11" width="20.0"/>
    <col customWidth="1" min="12" max="13" width="10.0"/>
    <col customWidth="1" min="14" max="14" width="1.57"/>
    <col customWidth="1" min="15" max="15" width="50.0"/>
    <col customWidth="1" min="16" max="26" width="8.71"/>
  </cols>
  <sheetData>
    <row r="1" ht="24.0" customHeight="1">
      <c r="A1" s="1"/>
      <c r="B1" s="2" t="s">
        <v>0</v>
      </c>
      <c r="O1" s="1"/>
    </row>
    <row r="2" ht="12.0" customHeight="1">
      <c r="A2" s="1"/>
      <c r="B2" s="3" t="s">
        <v>1</v>
      </c>
      <c r="O2" s="1"/>
    </row>
    <row r="3" ht="6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15.0" customHeight="1">
      <c r="A4" s="1"/>
      <c r="B4" s="4" t="s">
        <v>2</v>
      </c>
      <c r="C4" s="5"/>
      <c r="D4" s="5"/>
      <c r="E4" s="6"/>
      <c r="F4" s="1"/>
      <c r="G4" s="4" t="s">
        <v>3</v>
      </c>
      <c r="H4" s="5"/>
      <c r="I4" s="6"/>
      <c r="J4" s="1"/>
      <c r="K4" s="4" t="s">
        <v>4</v>
      </c>
      <c r="L4" s="5"/>
      <c r="M4" s="6"/>
      <c r="N4" s="1"/>
      <c r="O4" s="1"/>
    </row>
    <row r="5" ht="15.0" customHeight="1">
      <c r="A5" s="1"/>
      <c r="B5" s="7" t="s">
        <v>5</v>
      </c>
      <c r="C5" s="1"/>
      <c r="D5" s="1"/>
      <c r="E5" s="1"/>
      <c r="F5" s="1"/>
      <c r="G5" s="8" t="s">
        <v>6</v>
      </c>
      <c r="H5" s="1"/>
      <c r="I5" s="1"/>
      <c r="J5" s="1"/>
      <c r="K5" s="9"/>
      <c r="L5" s="10" t="s">
        <v>7</v>
      </c>
      <c r="M5" s="10" t="s">
        <v>8</v>
      </c>
      <c r="N5" s="1"/>
      <c r="O5" s="1"/>
    </row>
    <row r="6" ht="18.75" customHeight="1">
      <c r="A6" s="1"/>
      <c r="B6" s="11" t="s">
        <v>9</v>
      </c>
      <c r="C6" s="12">
        <v>544.0</v>
      </c>
      <c r="D6" s="1"/>
      <c r="E6" s="1"/>
      <c r="F6" s="1"/>
      <c r="G6" s="11" t="s">
        <v>10</v>
      </c>
      <c r="H6" s="12">
        <v>2246.0</v>
      </c>
      <c r="I6" s="1"/>
      <c r="J6" s="1"/>
      <c r="K6" s="11" t="s">
        <v>11</v>
      </c>
      <c r="L6" s="12">
        <v>1500.0</v>
      </c>
      <c r="M6" s="13">
        <v>0.075</v>
      </c>
      <c r="N6" s="1"/>
      <c r="O6" s="14" t="s">
        <v>12</v>
      </c>
    </row>
    <row r="7" ht="18.75" customHeight="1">
      <c r="A7" s="1"/>
      <c r="B7" s="11" t="s">
        <v>13</v>
      </c>
      <c r="C7" s="15">
        <v>9.5</v>
      </c>
      <c r="D7" s="1"/>
      <c r="E7" s="1"/>
      <c r="F7" s="1"/>
      <c r="G7" s="11" t="s">
        <v>14</v>
      </c>
      <c r="H7" s="12">
        <v>544.0</v>
      </c>
      <c r="I7" s="1"/>
      <c r="J7" s="1"/>
      <c r="K7" s="11" t="s">
        <v>15</v>
      </c>
      <c r="L7" s="12">
        <v>800.0</v>
      </c>
      <c r="M7" s="13">
        <v>0.0875</v>
      </c>
      <c r="N7" s="1"/>
      <c r="O7" s="16" t="s">
        <v>16</v>
      </c>
    </row>
    <row r="8" ht="15.0" customHeight="1">
      <c r="A8" s="1"/>
      <c r="B8" s="17" t="s">
        <v>17</v>
      </c>
      <c r="C8" s="18">
        <f>C6*C7</f>
        <v>5168</v>
      </c>
      <c r="D8" s="1"/>
      <c r="E8" s="1"/>
      <c r="F8" s="1"/>
      <c r="G8" s="11" t="s">
        <v>18</v>
      </c>
      <c r="H8" s="12">
        <v>162.0</v>
      </c>
      <c r="I8" s="1"/>
      <c r="J8" s="1"/>
      <c r="K8" s="11"/>
      <c r="L8" s="1"/>
      <c r="M8" s="1"/>
      <c r="N8" s="1"/>
      <c r="O8" s="3" t="s">
        <v>19</v>
      </c>
    </row>
    <row r="9" ht="15.0" customHeight="1">
      <c r="A9" s="1"/>
      <c r="B9" s="11" t="s">
        <v>20</v>
      </c>
      <c r="C9" s="12">
        <v>2401.0</v>
      </c>
      <c r="D9" s="1"/>
      <c r="E9" s="1"/>
      <c r="F9" s="1"/>
      <c r="G9" s="11" t="s">
        <v>21</v>
      </c>
      <c r="H9" s="12">
        <v>94.0</v>
      </c>
      <c r="I9" s="1"/>
      <c r="J9" s="1"/>
      <c r="K9" s="17" t="s">
        <v>22</v>
      </c>
      <c r="L9" s="1"/>
      <c r="M9" s="1"/>
      <c r="N9" s="1"/>
      <c r="O9" s="3" t="s">
        <v>23</v>
      </c>
    </row>
    <row r="10" ht="15.0" customHeight="1">
      <c r="A10" s="1"/>
      <c r="B10" s="17" t="s">
        <v>24</v>
      </c>
      <c r="C10" s="18">
        <f>C8-C9</f>
        <v>2767</v>
      </c>
      <c r="D10" s="1"/>
      <c r="E10" s="1"/>
      <c r="F10" s="1"/>
      <c r="G10" s="11" t="s">
        <v>25</v>
      </c>
      <c r="H10" s="12">
        <v>0.0</v>
      </c>
      <c r="I10" s="1"/>
      <c r="J10" s="1"/>
      <c r="K10" s="19" t="s">
        <v>26</v>
      </c>
      <c r="L10" s="20">
        <f>Returns!C28</f>
        <v>0.1348124074</v>
      </c>
      <c r="M10" s="21"/>
      <c r="N10" s="1"/>
      <c r="O10" s="3" t="s">
        <v>27</v>
      </c>
    </row>
    <row r="11" ht="4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ht="15.0" customHeight="1">
      <c r="A12" s="1"/>
      <c r="B12" s="11" t="s">
        <v>28</v>
      </c>
      <c r="C12" s="12">
        <v>150.0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ht="4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ht="15.0" customHeight="1">
      <c r="A14" s="1"/>
      <c r="B14" s="8" t="s">
        <v>29</v>
      </c>
      <c r="C14" s="1"/>
      <c r="D14" s="1"/>
      <c r="E14" s="1"/>
      <c r="F14" s="1"/>
      <c r="G14" s="8" t="s">
        <v>30</v>
      </c>
      <c r="H14" s="1"/>
      <c r="I14" s="1"/>
      <c r="J14" s="1"/>
      <c r="K14" s="1"/>
      <c r="L14" s="1"/>
      <c r="M14" s="1"/>
      <c r="N14" s="1"/>
      <c r="O14" s="1"/>
    </row>
    <row r="15" ht="15.0" customHeight="1">
      <c r="A15" s="1"/>
      <c r="B15" s="11" t="s">
        <v>13</v>
      </c>
      <c r="C15" s="15">
        <v>10.0</v>
      </c>
      <c r="D15" s="1"/>
      <c r="E15" s="1"/>
      <c r="F15" s="1"/>
      <c r="G15" s="11" t="s">
        <v>31</v>
      </c>
      <c r="H15" s="13">
        <v>0.03</v>
      </c>
      <c r="I15" s="1"/>
      <c r="J15" s="1"/>
      <c r="K15" s="1"/>
      <c r="L15" s="1"/>
      <c r="M15" s="1"/>
      <c r="N15" s="1"/>
      <c r="O15" s="1"/>
    </row>
    <row r="16" ht="15.0" customHeight="1">
      <c r="A16" s="1"/>
      <c r="B16" s="1"/>
      <c r="C16" s="1"/>
      <c r="D16" s="1"/>
      <c r="E16" s="1"/>
      <c r="F16" s="1"/>
      <c r="G16" s="11" t="s">
        <v>32</v>
      </c>
      <c r="H16" s="13">
        <v>0.005</v>
      </c>
      <c r="I16" s="1"/>
      <c r="J16" s="1"/>
      <c r="K16" s="1"/>
      <c r="L16" s="1"/>
      <c r="M16" s="1"/>
      <c r="N16" s="1"/>
      <c r="O16" s="1"/>
    </row>
    <row r="17" ht="15.0" customHeight="1">
      <c r="A17" s="1"/>
      <c r="B17" s="1"/>
      <c r="C17" s="1"/>
      <c r="D17" s="1"/>
      <c r="E17" s="1"/>
      <c r="F17" s="1"/>
      <c r="G17" s="11" t="s">
        <v>33</v>
      </c>
      <c r="H17" s="13">
        <v>0.26</v>
      </c>
      <c r="I17" s="1"/>
      <c r="J17" s="1"/>
      <c r="K17" s="1"/>
      <c r="L17" s="1"/>
      <c r="M17" s="1"/>
      <c r="N17" s="1"/>
      <c r="O17" s="1"/>
    </row>
    <row r="18" ht="7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.0" customHeight="1">
      <c r="A19" s="1"/>
      <c r="B19" s="22" t="s">
        <v>34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1"/>
      <c r="O19" s="1"/>
    </row>
    <row r="20" ht="15.0" customHeight="1">
      <c r="A20" s="1"/>
      <c r="B20" s="23" t="s">
        <v>35</v>
      </c>
      <c r="C20" s="5"/>
      <c r="D20" s="5"/>
      <c r="E20" s="6"/>
      <c r="F20" s="1"/>
      <c r="G20" s="23" t="s">
        <v>36</v>
      </c>
      <c r="H20" s="5"/>
      <c r="I20" s="5"/>
      <c r="J20" s="6"/>
      <c r="K20" s="1"/>
      <c r="L20" s="1"/>
      <c r="M20" s="1"/>
      <c r="N20" s="1"/>
      <c r="O20" s="1"/>
    </row>
    <row r="21" ht="15.0" customHeight="1">
      <c r="A21" s="1"/>
      <c r="B21" s="24"/>
      <c r="C21" s="24" t="s">
        <v>7</v>
      </c>
      <c r="D21" s="24" t="s">
        <v>37</v>
      </c>
      <c r="E21" s="24" t="s">
        <v>38</v>
      </c>
      <c r="F21" s="1"/>
      <c r="G21" s="24"/>
      <c r="H21" s="24" t="s">
        <v>7</v>
      </c>
      <c r="I21" s="24" t="s">
        <v>37</v>
      </c>
      <c r="J21" s="24" t="s">
        <v>39</v>
      </c>
      <c r="K21" s="1"/>
      <c r="L21" s="1"/>
      <c r="M21" s="1"/>
      <c r="N21" s="1"/>
      <c r="O21" s="1"/>
    </row>
    <row r="22" ht="15.0" customHeight="1">
      <c r="A22" s="1"/>
      <c r="B22" s="11" t="s">
        <v>11</v>
      </c>
      <c r="C22" s="25">
        <f t="shared" ref="C22:C23" si="1">L6</f>
        <v>1500</v>
      </c>
      <c r="D22" s="26">
        <f>C22/C6</f>
        <v>2.757352941</v>
      </c>
      <c r="E22" s="27">
        <f>C22/(C25+C26)</f>
        <v>0.1799424184</v>
      </c>
      <c r="F22" s="1"/>
      <c r="G22" s="11" t="s">
        <v>40</v>
      </c>
      <c r="H22" s="25">
        <f>C10</f>
        <v>2767</v>
      </c>
      <c r="I22" s="26">
        <f>H22/C6</f>
        <v>5.086397059</v>
      </c>
      <c r="J22" s="27">
        <f>H22/H29</f>
        <v>0.5203083866</v>
      </c>
      <c r="K22" s="1"/>
      <c r="L22" s="1"/>
      <c r="M22" s="1"/>
      <c r="N22" s="1"/>
      <c r="O22" s="1"/>
    </row>
    <row r="23" ht="15.0" customHeight="1">
      <c r="A23" s="1"/>
      <c r="B23" s="11" t="s">
        <v>15</v>
      </c>
      <c r="C23" s="25">
        <f t="shared" si="1"/>
        <v>800</v>
      </c>
      <c r="D23" s="26">
        <f>C23/C6</f>
        <v>1.470588235</v>
      </c>
      <c r="E23" s="27">
        <f>C23/(C25+C26)</f>
        <v>0.09596928983</v>
      </c>
      <c r="F23" s="1"/>
      <c r="G23" s="11" t="s">
        <v>41</v>
      </c>
      <c r="H23" s="25">
        <f>C9</f>
        <v>2401</v>
      </c>
      <c r="I23" s="26">
        <f>H23/C6</f>
        <v>4.413602941</v>
      </c>
      <c r="J23" s="27">
        <f>H23/H29</f>
        <v>0.4514855209</v>
      </c>
      <c r="K23" s="1"/>
      <c r="L23" s="1"/>
      <c r="M23" s="1"/>
      <c r="N23" s="1"/>
      <c r="O23" s="1"/>
    </row>
    <row r="24" ht="15.0" customHeight="1">
      <c r="A24" s="1"/>
      <c r="B24" s="17" t="s">
        <v>42</v>
      </c>
      <c r="C24" s="18">
        <f>C22+C23</f>
        <v>2300</v>
      </c>
      <c r="D24" s="28">
        <f>C24/C6</f>
        <v>4.227941176</v>
      </c>
      <c r="E24" s="29">
        <f>C24/(C25+C26)</f>
        <v>0.2759117083</v>
      </c>
      <c r="F24" s="1"/>
      <c r="G24" s="11"/>
      <c r="H24" s="1"/>
      <c r="I24" s="1"/>
      <c r="J24" s="1"/>
      <c r="K24" s="1"/>
      <c r="L24" s="1"/>
      <c r="M24" s="1"/>
      <c r="N24" s="1"/>
      <c r="O24" s="1"/>
    </row>
    <row r="25" ht="15.0" customHeight="1">
      <c r="A25" s="1"/>
      <c r="B25" s="11" t="s">
        <v>43</v>
      </c>
      <c r="C25" s="30">
        <f>H29-C24</f>
        <v>3018</v>
      </c>
      <c r="D25" s="31">
        <f>C25/C6</f>
        <v>5.547794118</v>
      </c>
      <c r="E25" s="27">
        <f>C25/(C24+C25)</f>
        <v>0.5675065814</v>
      </c>
      <c r="F25" s="1"/>
      <c r="G25" s="11" t="s">
        <v>28</v>
      </c>
      <c r="H25" s="25">
        <f>C12</f>
        <v>150</v>
      </c>
      <c r="I25" s="26">
        <f>H25/C6</f>
        <v>0.2757352941</v>
      </c>
      <c r="J25" s="27">
        <f>H25/H29</f>
        <v>0.02820609252</v>
      </c>
      <c r="K25" s="1"/>
      <c r="L25" s="1"/>
      <c r="M25" s="1"/>
      <c r="N25" s="1"/>
      <c r="O25" s="1"/>
    </row>
    <row r="26" ht="15.0" customHeight="1">
      <c r="A26" s="1"/>
      <c r="B26" s="17" t="s">
        <v>44</v>
      </c>
      <c r="C26" s="32">
        <f>C24+C25</f>
        <v>5318</v>
      </c>
      <c r="D26" s="28">
        <f>C26/C6</f>
        <v>9.775735294</v>
      </c>
      <c r="E26" s="33" t="str">
        <f>IF(ABS(C26-H29)&lt;1,"✓ Balanced","⚠ CHECK")</f>
        <v>✓ Balanced</v>
      </c>
      <c r="F26" s="1"/>
      <c r="G26" s="11"/>
      <c r="H26" s="1"/>
      <c r="I26" s="1"/>
      <c r="J26" s="1"/>
      <c r="K26" s="1"/>
      <c r="L26" s="1"/>
      <c r="M26" s="1"/>
      <c r="N26" s="1"/>
      <c r="O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5.0" customHeight="1">
      <c r="A29" s="1"/>
      <c r="B29" s="1"/>
      <c r="C29" s="1"/>
      <c r="D29" s="1"/>
      <c r="E29" s="1"/>
      <c r="F29" s="1"/>
      <c r="G29" s="17" t="s">
        <v>45</v>
      </c>
      <c r="H29" s="32">
        <f>H22+H23+H25</f>
        <v>5318</v>
      </c>
      <c r="I29" s="28">
        <f>H29/C6</f>
        <v>9.775735294</v>
      </c>
      <c r="J29" s="33" t="str">
        <f>IF(ABS(C26-H29)&lt;1,"✓","⚠")</f>
        <v>✓</v>
      </c>
      <c r="K29" s="1"/>
      <c r="L29" s="1"/>
      <c r="M29" s="1"/>
      <c r="N29" s="1"/>
      <c r="O29" s="1"/>
    </row>
    <row r="30" ht="6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27.75" customHeight="1">
      <c r="A31" s="1"/>
      <c r="B31" s="14" t="s">
        <v>46</v>
      </c>
      <c r="O31" s="1"/>
    </row>
    <row r="32" ht="27.75" customHeight="1">
      <c r="A32" s="1"/>
      <c r="B32" s="14" t="s">
        <v>47</v>
      </c>
      <c r="O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11">
    <mergeCell ref="B20:E20"/>
    <mergeCell ref="G20:J20"/>
    <mergeCell ref="B31:N31"/>
    <mergeCell ref="B32:N32"/>
    <mergeCell ref="B1:N1"/>
    <mergeCell ref="B2:N2"/>
    <mergeCell ref="B4:E4"/>
    <mergeCell ref="G4:I4"/>
    <mergeCell ref="K4:M4"/>
    <mergeCell ref="L10:M10"/>
    <mergeCell ref="B19:M19"/>
  </mergeCells>
  <printOptions/>
  <pageMargins bottom="0.5" footer="0.0" header="0.0" left="0.4" right="0.4" top="0.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30.0"/>
    <col customWidth="1" min="3" max="8" width="13.0"/>
    <col customWidth="1" min="9" max="9" width="2.0"/>
    <col customWidth="1" min="10" max="10" width="52.0"/>
    <col customWidth="1" min="11" max="26" width="8.71"/>
  </cols>
  <sheetData>
    <row r="1" ht="21.75" customHeight="1">
      <c r="A1" s="1"/>
      <c r="B1" s="34" t="s">
        <v>48</v>
      </c>
      <c r="I1" s="1"/>
      <c r="J1" s="1"/>
    </row>
    <row r="2" ht="15.0" customHeight="1">
      <c r="A2" s="1"/>
      <c r="B2" s="3" t="s">
        <v>49</v>
      </c>
      <c r="I2" s="1"/>
      <c r="J2" s="1"/>
    </row>
    <row r="3" ht="4.5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ht="15.0" customHeight="1">
      <c r="A4" s="1"/>
      <c r="B4" s="1"/>
      <c r="C4" s="35" t="s">
        <v>50</v>
      </c>
      <c r="D4" s="35" t="s">
        <v>51</v>
      </c>
      <c r="E4" s="35" t="s">
        <v>52</v>
      </c>
      <c r="F4" s="35" t="s">
        <v>53</v>
      </c>
      <c r="G4" s="35" t="s">
        <v>54</v>
      </c>
      <c r="H4" s="35" t="s">
        <v>55</v>
      </c>
      <c r="I4" s="1"/>
      <c r="J4" s="1"/>
    </row>
    <row r="5" ht="15.0" customHeight="1">
      <c r="A5" s="1"/>
      <c r="B5" s="4" t="s">
        <v>56</v>
      </c>
      <c r="C5" s="5"/>
      <c r="D5" s="5"/>
      <c r="E5" s="5"/>
      <c r="F5" s="5"/>
      <c r="G5" s="5"/>
      <c r="H5" s="36"/>
      <c r="I5" s="1"/>
      <c r="J5" s="1"/>
    </row>
    <row r="6" ht="18.75" customHeight="1">
      <c r="A6" s="1"/>
      <c r="B6" s="37" t="s">
        <v>57</v>
      </c>
      <c r="C6" s="38">
        <v>2246.0</v>
      </c>
      <c r="D6" s="39">
        <f>C6*(1+'LBO Model'!H15)</f>
        <v>2313.38</v>
      </c>
      <c r="E6" s="39">
        <f>D6*(1+'LBO Model'!H15)</f>
        <v>2382.7814</v>
      </c>
      <c r="F6" s="39">
        <f>E6*(1+'LBO Model'!H15)</f>
        <v>2454.264842</v>
      </c>
      <c r="G6" s="39">
        <f>F6*(1+'LBO Model'!H15)</f>
        <v>2527.892787</v>
      </c>
      <c r="H6" s="39">
        <f>G6*(1+'LBO Model'!H15)</f>
        <v>2603.729571</v>
      </c>
      <c r="I6" s="1"/>
      <c r="J6" s="14" t="s">
        <v>58</v>
      </c>
    </row>
    <row r="7" ht="18.75" customHeight="1">
      <c r="A7" s="1"/>
      <c r="B7" s="37" t="s">
        <v>59</v>
      </c>
      <c r="C7" s="38">
        <v>544.0</v>
      </c>
      <c r="D7" s="39">
        <f>D6*(C7/C6+'LBO Model'!H16)</f>
        <v>571.8869</v>
      </c>
      <c r="E7" s="39">
        <f>E6*(D7/D6+'LBO Model'!H16)</f>
        <v>600.957414</v>
      </c>
      <c r="F7" s="39">
        <f>F6*(E7/E6+'LBO Model'!H16)</f>
        <v>631.2574606</v>
      </c>
      <c r="G7" s="39">
        <f>G6*(F7/F6+'LBO Model'!H16)</f>
        <v>662.8346484</v>
      </c>
      <c r="H7" s="39">
        <f>H6*(G7/G6+'LBO Model'!H16)</f>
        <v>695.7383357</v>
      </c>
      <c r="I7" s="1"/>
      <c r="J7" s="14" t="s">
        <v>60</v>
      </c>
    </row>
    <row r="8" ht="15.0" customHeight="1">
      <c r="A8" s="1"/>
      <c r="B8" s="40" t="s">
        <v>61</v>
      </c>
      <c r="C8" s="27">
        <f t="shared" ref="C8:H8" si="1">C7/C6</f>
        <v>0.2422083704</v>
      </c>
      <c r="D8" s="27">
        <f t="shared" si="1"/>
        <v>0.2472083704</v>
      </c>
      <c r="E8" s="27">
        <f t="shared" si="1"/>
        <v>0.2522083704</v>
      </c>
      <c r="F8" s="27">
        <f t="shared" si="1"/>
        <v>0.2572083704</v>
      </c>
      <c r="G8" s="27">
        <f t="shared" si="1"/>
        <v>0.2622083704</v>
      </c>
      <c r="H8" s="27">
        <f t="shared" si="1"/>
        <v>0.2672083704</v>
      </c>
      <c r="I8" s="1"/>
      <c r="J8" s="1"/>
    </row>
    <row r="9" ht="18.75" customHeight="1">
      <c r="A9" s="1"/>
      <c r="B9" s="40" t="s">
        <v>62</v>
      </c>
      <c r="C9" s="12">
        <v>162.0</v>
      </c>
      <c r="D9" s="30">
        <f t="shared" ref="D9:H9" si="2">C9*1.03</f>
        <v>166.86</v>
      </c>
      <c r="E9" s="30">
        <f t="shared" si="2"/>
        <v>171.8658</v>
      </c>
      <c r="F9" s="30">
        <f t="shared" si="2"/>
        <v>177.021774</v>
      </c>
      <c r="G9" s="30">
        <f t="shared" si="2"/>
        <v>182.3324272</v>
      </c>
      <c r="H9" s="30">
        <f t="shared" si="2"/>
        <v>187.8024</v>
      </c>
      <c r="I9" s="1"/>
      <c r="J9" s="14" t="s">
        <v>63</v>
      </c>
    </row>
    <row r="10" ht="15.0" customHeight="1">
      <c r="A10" s="1"/>
      <c r="B10" s="37" t="s">
        <v>64</v>
      </c>
      <c r="C10" s="18">
        <f t="shared" ref="C10:H10" si="3">C7-C9</f>
        <v>382</v>
      </c>
      <c r="D10" s="18">
        <f t="shared" si="3"/>
        <v>405.0269</v>
      </c>
      <c r="E10" s="18">
        <f t="shared" si="3"/>
        <v>429.091614</v>
      </c>
      <c r="F10" s="18">
        <f t="shared" si="3"/>
        <v>454.2356866</v>
      </c>
      <c r="G10" s="18">
        <f t="shared" si="3"/>
        <v>480.5022212</v>
      </c>
      <c r="H10" s="18">
        <f t="shared" si="3"/>
        <v>507.9359357</v>
      </c>
      <c r="I10" s="1"/>
      <c r="J10" s="1"/>
    </row>
    <row r="11" ht="15.0" customHeight="1">
      <c r="A11" s="1"/>
      <c r="B11" s="40" t="s">
        <v>65</v>
      </c>
      <c r="C11" s="25">
        <f>-('LBO Model'!L6*'LBO Model'!M6+'LBO Model'!L7*'LBO Model'!M7)</f>
        <v>-182.5</v>
      </c>
      <c r="D11" s="30">
        <f>-(C33*'LBO Model'!M6+C34*'LBO Model'!M7)</f>
        <v>-182.5</v>
      </c>
      <c r="E11" s="30">
        <f>-(D33*'LBO Model'!M6+D34*'LBO Model'!M7)</f>
        <v>-170.7587535</v>
      </c>
      <c r="F11" s="30">
        <f>-(E33*'LBO Model'!M6+E34*'LBO Model'!M7)</f>
        <v>-158.0225613</v>
      </c>
      <c r="G11" s="30">
        <f>-(F33*'LBO Model'!M6+F34*'LBO Model'!M7)</f>
        <v>-144.2393688</v>
      </c>
      <c r="H11" s="30">
        <f>-(G33*'LBO Model'!M6+G34*'LBO Model'!M7)</f>
        <v>-129.3548481</v>
      </c>
      <c r="I11" s="1"/>
      <c r="J11" s="1"/>
    </row>
    <row r="12" ht="15.0" customHeight="1">
      <c r="A12" s="1"/>
      <c r="B12" s="37" t="s">
        <v>66</v>
      </c>
      <c r="C12" s="39">
        <f t="shared" ref="C12:H12" si="4">C10+C11</f>
        <v>199.5</v>
      </c>
      <c r="D12" s="39">
        <f t="shared" si="4"/>
        <v>222.5269</v>
      </c>
      <c r="E12" s="39">
        <f t="shared" si="4"/>
        <v>258.3328605</v>
      </c>
      <c r="F12" s="39">
        <f t="shared" si="4"/>
        <v>296.2131253</v>
      </c>
      <c r="G12" s="39">
        <f t="shared" si="4"/>
        <v>336.2628524</v>
      </c>
      <c r="H12" s="39">
        <f t="shared" si="4"/>
        <v>378.5810875</v>
      </c>
      <c r="I12" s="1"/>
      <c r="J12" s="1"/>
    </row>
    <row r="13" ht="15.0" customHeight="1">
      <c r="A13" s="1"/>
      <c r="B13" s="40" t="s">
        <v>67</v>
      </c>
      <c r="C13" s="30">
        <f>IF(C12&gt;0,-C12*'LBO Model'!H17,0)</f>
        <v>-51.87</v>
      </c>
      <c r="D13" s="30">
        <f>IF(D12&gt;0,-D12*'LBO Model'!H17,0)</f>
        <v>-57.856994</v>
      </c>
      <c r="E13" s="30">
        <f>IF(E12&gt;0,-E12*'LBO Model'!H17,0)</f>
        <v>-67.16654372</v>
      </c>
      <c r="F13" s="30">
        <f>IF(F12&gt;0,-F12*'LBO Model'!H17,0)</f>
        <v>-77.01541259</v>
      </c>
      <c r="G13" s="30">
        <f>IF(G12&gt;0,-G12*'LBO Model'!H17,0)</f>
        <v>-87.42834162</v>
      </c>
      <c r="H13" s="30">
        <f>IF(H12&gt;0,-H12*'LBO Model'!H17,0)</f>
        <v>-98.43108276</v>
      </c>
      <c r="I13" s="1"/>
      <c r="J13" s="1"/>
    </row>
    <row r="14" ht="15.0" customHeight="1">
      <c r="A14" s="1"/>
      <c r="B14" s="37" t="s">
        <v>68</v>
      </c>
      <c r="C14" s="41">
        <f t="shared" ref="C14:H14" si="5">C12+C13</f>
        <v>147.63</v>
      </c>
      <c r="D14" s="41">
        <f t="shared" si="5"/>
        <v>164.669906</v>
      </c>
      <c r="E14" s="41">
        <f t="shared" si="5"/>
        <v>191.1663168</v>
      </c>
      <c r="F14" s="41">
        <f t="shared" si="5"/>
        <v>219.1977127</v>
      </c>
      <c r="G14" s="41">
        <f t="shared" si="5"/>
        <v>248.8345108</v>
      </c>
      <c r="H14" s="41">
        <f t="shared" si="5"/>
        <v>280.1500048</v>
      </c>
      <c r="I14" s="1"/>
      <c r="J14" s="1"/>
    </row>
    <row r="15" ht="6.0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ht="15.0" customHeight="1">
      <c r="A16" s="1"/>
      <c r="B16" s="42" t="s">
        <v>69</v>
      </c>
      <c r="C16" s="5"/>
      <c r="D16" s="5"/>
      <c r="E16" s="5"/>
      <c r="F16" s="5"/>
      <c r="G16" s="5"/>
      <c r="H16" s="36"/>
      <c r="I16" s="1"/>
      <c r="J16" s="1"/>
    </row>
    <row r="17" ht="15.0" customHeight="1">
      <c r="A17" s="1"/>
      <c r="B17" s="37" t="s">
        <v>14</v>
      </c>
      <c r="C17" s="43">
        <f t="shared" ref="C17:H17" si="6">C7</f>
        <v>544</v>
      </c>
      <c r="D17" s="43">
        <f t="shared" si="6"/>
        <v>571.8869</v>
      </c>
      <c r="E17" s="43">
        <f t="shared" si="6"/>
        <v>600.957414</v>
      </c>
      <c r="F17" s="43">
        <f t="shared" si="6"/>
        <v>631.2574606</v>
      </c>
      <c r="G17" s="43">
        <f t="shared" si="6"/>
        <v>662.8346484</v>
      </c>
      <c r="H17" s="43">
        <f t="shared" si="6"/>
        <v>695.7383357</v>
      </c>
      <c r="I17" s="1"/>
      <c r="J17" s="1"/>
    </row>
    <row r="18" ht="18.75" customHeight="1">
      <c r="A18" s="1"/>
      <c r="B18" s="40" t="s">
        <v>70</v>
      </c>
      <c r="C18" s="12">
        <v>-94.0</v>
      </c>
      <c r="D18" s="30">
        <f t="shared" ref="D18:H18" si="7">C18*1.02</f>
        <v>-95.88</v>
      </c>
      <c r="E18" s="30">
        <f t="shared" si="7"/>
        <v>-97.7976</v>
      </c>
      <c r="F18" s="30">
        <f t="shared" si="7"/>
        <v>-99.753552</v>
      </c>
      <c r="G18" s="30">
        <f t="shared" si="7"/>
        <v>-101.748623</v>
      </c>
      <c r="H18" s="30">
        <f t="shared" si="7"/>
        <v>-103.7835955</v>
      </c>
      <c r="I18" s="1"/>
      <c r="J18" s="14" t="s">
        <v>71</v>
      </c>
    </row>
    <row r="19" ht="15.0" customHeight="1">
      <c r="A19" s="1"/>
      <c r="B19" s="40" t="s">
        <v>72</v>
      </c>
      <c r="C19" s="30">
        <f t="shared" ref="C19:H19" si="8">0</f>
        <v>0</v>
      </c>
      <c r="D19" s="30">
        <f t="shared" si="8"/>
        <v>0</v>
      </c>
      <c r="E19" s="30">
        <f t="shared" si="8"/>
        <v>0</v>
      </c>
      <c r="F19" s="30">
        <f t="shared" si="8"/>
        <v>0</v>
      </c>
      <c r="G19" s="30">
        <f t="shared" si="8"/>
        <v>0</v>
      </c>
      <c r="H19" s="30">
        <f t="shared" si="8"/>
        <v>0</v>
      </c>
      <c r="I19" s="1"/>
      <c r="J19" s="1"/>
    </row>
    <row r="20" ht="15.0" customHeight="1">
      <c r="A20" s="1"/>
      <c r="B20" s="40" t="s">
        <v>73</v>
      </c>
      <c r="C20" s="25">
        <f t="shared" ref="C20:H20" si="9">C13</f>
        <v>-51.87</v>
      </c>
      <c r="D20" s="25">
        <f t="shared" si="9"/>
        <v>-57.856994</v>
      </c>
      <c r="E20" s="25">
        <f t="shared" si="9"/>
        <v>-67.16654372</v>
      </c>
      <c r="F20" s="25">
        <f t="shared" si="9"/>
        <v>-77.01541259</v>
      </c>
      <c r="G20" s="25">
        <f t="shared" si="9"/>
        <v>-87.42834162</v>
      </c>
      <c r="H20" s="25">
        <f t="shared" si="9"/>
        <v>-98.43108276</v>
      </c>
      <c r="I20" s="1"/>
      <c r="J20" s="1"/>
    </row>
    <row r="21" ht="15.0" customHeight="1">
      <c r="A21" s="1"/>
      <c r="B21" s="37" t="s">
        <v>74</v>
      </c>
      <c r="C21" s="39">
        <f t="shared" ref="C21:H21" si="10">C17+C18+C19+C20</f>
        <v>398.13</v>
      </c>
      <c r="D21" s="44">
        <f t="shared" si="10"/>
        <v>418.149906</v>
      </c>
      <c r="E21" s="44">
        <f t="shared" si="10"/>
        <v>435.9932703</v>
      </c>
      <c r="F21" s="44">
        <f t="shared" si="10"/>
        <v>454.488496</v>
      </c>
      <c r="G21" s="44">
        <f t="shared" si="10"/>
        <v>473.6576837</v>
      </c>
      <c r="H21" s="44">
        <f t="shared" si="10"/>
        <v>493.5236574</v>
      </c>
      <c r="I21" s="1"/>
      <c r="J21" s="1"/>
    </row>
    <row r="22" ht="6.0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15.0" customHeight="1">
      <c r="A23" s="1"/>
      <c r="B23" s="4" t="s">
        <v>75</v>
      </c>
      <c r="C23" s="5"/>
      <c r="D23" s="5"/>
      <c r="E23" s="5"/>
      <c r="F23" s="5"/>
      <c r="G23" s="5"/>
      <c r="H23" s="36"/>
      <c r="I23" s="1"/>
      <c r="J23" s="1"/>
    </row>
    <row r="24" ht="15.0" customHeight="1">
      <c r="A24" s="1"/>
      <c r="B24" s="1"/>
      <c r="C24" s="35" t="s">
        <v>50</v>
      </c>
      <c r="D24" s="35" t="s">
        <v>51</v>
      </c>
      <c r="E24" s="35" t="s">
        <v>52</v>
      </c>
      <c r="F24" s="35" t="s">
        <v>53</v>
      </c>
      <c r="G24" s="35" t="s">
        <v>54</v>
      </c>
      <c r="H24" s="35" t="s">
        <v>55</v>
      </c>
      <c r="I24" s="1"/>
      <c r="J24" s="1"/>
    </row>
    <row r="25" ht="15.0" customHeight="1">
      <c r="A25" s="1"/>
      <c r="B25" s="40" t="s">
        <v>76</v>
      </c>
      <c r="C25" s="25">
        <f>'LBO Model'!L6</f>
        <v>1500</v>
      </c>
      <c r="D25" s="25">
        <f t="shared" ref="D25:H25" si="11">C33</f>
        <v>1500</v>
      </c>
      <c r="E25" s="25">
        <f t="shared" si="11"/>
        <v>1343.450047</v>
      </c>
      <c r="F25" s="25">
        <f t="shared" si="11"/>
        <v>1173.634151</v>
      </c>
      <c r="G25" s="25">
        <f t="shared" si="11"/>
        <v>989.8582503</v>
      </c>
      <c r="H25" s="25">
        <f t="shared" si="11"/>
        <v>791.3979749</v>
      </c>
      <c r="I25" s="1"/>
      <c r="J25" s="1"/>
    </row>
    <row r="26" ht="18.75" customHeight="1">
      <c r="A26" s="1"/>
      <c r="B26" s="40" t="s">
        <v>77</v>
      </c>
      <c r="C26" s="30">
        <f t="shared" ref="C26:C27" si="12">0</f>
        <v>0</v>
      </c>
      <c r="D26" s="30">
        <f>-'LBO Model'!L6*0.01</f>
        <v>-15</v>
      </c>
      <c r="E26" s="30">
        <f>-'LBO Model'!L6*0.01</f>
        <v>-15</v>
      </c>
      <c r="F26" s="30">
        <f>-'LBO Model'!L6*0.01</f>
        <v>-15</v>
      </c>
      <c r="G26" s="30">
        <f>-'LBO Model'!L6*0.01</f>
        <v>-15</v>
      </c>
      <c r="H26" s="30">
        <f>-'LBO Model'!L6*0.01</f>
        <v>-15</v>
      </c>
      <c r="I26" s="1"/>
      <c r="J26" s="14" t="s">
        <v>78</v>
      </c>
    </row>
    <row r="27" ht="18.75" customHeight="1">
      <c r="A27" s="1"/>
      <c r="B27" s="40" t="s">
        <v>79</v>
      </c>
      <c r="C27" s="30">
        <f t="shared" si="12"/>
        <v>0</v>
      </c>
      <c r="D27" s="30">
        <f>MIN(-0.5*(D21+D11*(1-'LBO Model'!H17)),0)</f>
        <v>-141.549953</v>
      </c>
      <c r="E27" s="30">
        <f>MIN(-0.5*(E21+E11*(1-'LBO Model'!H17)),0)</f>
        <v>-154.8158963</v>
      </c>
      <c r="F27" s="30">
        <f>MIN(-0.5*(F21+F11*(1-'LBO Model'!H17)),0)</f>
        <v>-168.7759003</v>
      </c>
      <c r="G27" s="30">
        <f>MIN(-0.5*(G21+G11*(1-'LBO Model'!H17)),0)</f>
        <v>-183.4602754</v>
      </c>
      <c r="H27" s="30">
        <f>MIN(-0.5*(H21+H11*(1-'LBO Model'!H17)),0)</f>
        <v>-198.9005349</v>
      </c>
      <c r="I27" s="1"/>
      <c r="J27" s="14" t="s">
        <v>80</v>
      </c>
    </row>
    <row r="28" ht="15.0" customHeight="1">
      <c r="A28" s="1"/>
      <c r="B28" s="37" t="s">
        <v>81</v>
      </c>
      <c r="C28" s="18">
        <f>C25</f>
        <v>1500</v>
      </c>
      <c r="D28" s="18">
        <f t="shared" ref="D28:H28" si="13">D25+D26+D27</f>
        <v>1343.450047</v>
      </c>
      <c r="E28" s="18">
        <f t="shared" si="13"/>
        <v>1173.634151</v>
      </c>
      <c r="F28" s="18">
        <f t="shared" si="13"/>
        <v>989.8582503</v>
      </c>
      <c r="G28" s="18">
        <f t="shared" si="13"/>
        <v>791.3979749</v>
      </c>
      <c r="H28" s="18">
        <f t="shared" si="13"/>
        <v>577.49744</v>
      </c>
      <c r="I28" s="1"/>
      <c r="J28" s="1"/>
    </row>
    <row r="29" ht="3.7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ht="15.0" customHeight="1">
      <c r="A30" s="1"/>
      <c r="B30" s="40" t="s">
        <v>82</v>
      </c>
      <c r="C30" s="25">
        <f>'LBO Model'!L7</f>
        <v>800</v>
      </c>
      <c r="D30" s="25">
        <f t="shared" ref="D30:H30" si="14">C34</f>
        <v>800</v>
      </c>
      <c r="E30" s="25">
        <f t="shared" si="14"/>
        <v>800</v>
      </c>
      <c r="F30" s="25">
        <f t="shared" si="14"/>
        <v>800</v>
      </c>
      <c r="G30" s="25">
        <f t="shared" si="14"/>
        <v>800</v>
      </c>
      <c r="H30" s="25">
        <f t="shared" si="14"/>
        <v>800</v>
      </c>
      <c r="I30" s="1"/>
      <c r="J30" s="1"/>
    </row>
    <row r="31" ht="18.75" customHeight="1">
      <c r="A31" s="1"/>
      <c r="B31" s="37" t="s">
        <v>83</v>
      </c>
      <c r="C31" s="43">
        <f>'LBO Model'!L7</f>
        <v>800</v>
      </c>
      <c r="D31" s="43">
        <f>'LBO Model'!L7</f>
        <v>800</v>
      </c>
      <c r="E31" s="43">
        <f>'LBO Model'!L7</f>
        <v>800</v>
      </c>
      <c r="F31" s="43">
        <f>'LBO Model'!L7</f>
        <v>800</v>
      </c>
      <c r="G31" s="43">
        <f>'LBO Model'!L7</f>
        <v>800</v>
      </c>
      <c r="H31" s="43">
        <f>'LBO Model'!L7</f>
        <v>800</v>
      </c>
      <c r="I31" s="1"/>
      <c r="J31" s="14" t="s">
        <v>84</v>
      </c>
    </row>
    <row r="32" ht="3.7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9.75" customHeight="1">
      <c r="A33" s="1"/>
      <c r="B33" s="45" t="s">
        <v>85</v>
      </c>
      <c r="C33" s="46">
        <f t="shared" ref="C33:H33" si="15">C28</f>
        <v>1500</v>
      </c>
      <c r="D33" s="46">
        <f t="shared" si="15"/>
        <v>1343.450047</v>
      </c>
      <c r="E33" s="46">
        <f t="shared" si="15"/>
        <v>1173.634151</v>
      </c>
      <c r="F33" s="46">
        <f t="shared" si="15"/>
        <v>989.8582503</v>
      </c>
      <c r="G33" s="46">
        <f t="shared" si="15"/>
        <v>791.3979749</v>
      </c>
      <c r="H33" s="46">
        <f t="shared" si="15"/>
        <v>577.49744</v>
      </c>
      <c r="I33" s="1"/>
      <c r="J33" s="1"/>
    </row>
    <row r="34" ht="9.75" customHeight="1">
      <c r="A34" s="1"/>
      <c r="B34" s="45" t="s">
        <v>86</v>
      </c>
      <c r="C34" s="46">
        <f t="shared" ref="C34:H34" si="16">C31</f>
        <v>800</v>
      </c>
      <c r="D34" s="46">
        <f t="shared" si="16"/>
        <v>800</v>
      </c>
      <c r="E34" s="46">
        <f t="shared" si="16"/>
        <v>800</v>
      </c>
      <c r="F34" s="46">
        <f t="shared" si="16"/>
        <v>800</v>
      </c>
      <c r="G34" s="46">
        <f t="shared" si="16"/>
        <v>800</v>
      </c>
      <c r="H34" s="46">
        <f t="shared" si="16"/>
        <v>800</v>
      </c>
      <c r="I34" s="1"/>
      <c r="J34" s="1"/>
    </row>
    <row r="35" ht="6.0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15.0" customHeight="1">
      <c r="A36" s="1"/>
      <c r="B36" s="42" t="s">
        <v>87</v>
      </c>
      <c r="C36" s="5"/>
      <c r="D36" s="5"/>
      <c r="E36" s="5"/>
      <c r="F36" s="5"/>
      <c r="G36" s="5"/>
      <c r="H36" s="36"/>
      <c r="I36" s="1"/>
      <c r="J36" s="1"/>
    </row>
    <row r="37" ht="15.0" customHeight="1">
      <c r="A37" s="1"/>
      <c r="B37" s="1"/>
      <c r="C37" s="35" t="s">
        <v>50</v>
      </c>
      <c r="D37" s="35" t="s">
        <v>51</v>
      </c>
      <c r="E37" s="35" t="s">
        <v>52</v>
      </c>
      <c r="F37" s="35" t="s">
        <v>53</v>
      </c>
      <c r="G37" s="35" t="s">
        <v>54</v>
      </c>
      <c r="H37" s="35" t="s">
        <v>55</v>
      </c>
      <c r="I37" s="1"/>
      <c r="J37" s="1"/>
    </row>
    <row r="38" ht="15.0" customHeight="1">
      <c r="A38" s="1"/>
      <c r="B38" s="37" t="s">
        <v>88</v>
      </c>
      <c r="C38" s="47">
        <f t="shared" ref="C38:H38" si="17">(C28+C31)/C7</f>
        <v>4.227941176</v>
      </c>
      <c r="D38" s="28">
        <f t="shared" si="17"/>
        <v>3.74803138</v>
      </c>
      <c r="E38" s="28">
        <f t="shared" si="17"/>
        <v>3.284149766</v>
      </c>
      <c r="F38" s="28">
        <f t="shared" si="17"/>
        <v>2.8353855</v>
      </c>
      <c r="G38" s="28">
        <f t="shared" si="17"/>
        <v>2.400897386</v>
      </c>
      <c r="H38" s="47">
        <f t="shared" si="17"/>
        <v>1.979907344</v>
      </c>
      <c r="I38" s="1"/>
      <c r="J38" s="1"/>
    </row>
    <row r="39" ht="15.0" customHeight="1">
      <c r="A39" s="1"/>
      <c r="B39" s="40" t="s">
        <v>89</v>
      </c>
      <c r="C39" s="31">
        <f t="shared" ref="C39:H39" si="18">(C28+C31-100)/C7</f>
        <v>4.044117647</v>
      </c>
      <c r="D39" s="31">
        <f t="shared" si="18"/>
        <v>3.573171631</v>
      </c>
      <c r="E39" s="31">
        <f t="shared" si="18"/>
        <v>3.117748624</v>
      </c>
      <c r="F39" s="31">
        <f t="shared" si="18"/>
        <v>2.67697153</v>
      </c>
      <c r="G39" s="31">
        <f t="shared" si="18"/>
        <v>2.250030198</v>
      </c>
      <c r="H39" s="31">
        <f t="shared" si="18"/>
        <v>1.836175146</v>
      </c>
      <c r="I39" s="1"/>
      <c r="J39" s="1"/>
    </row>
    <row r="40" ht="15.0" customHeight="1">
      <c r="A40" s="1"/>
      <c r="B40" s="40" t="s">
        <v>90</v>
      </c>
      <c r="C40" s="48">
        <f t="shared" ref="C40:H40" si="19">IF(C11&lt;0,C7/ABS(C11),0)</f>
        <v>2.980821918</v>
      </c>
      <c r="D40" s="48">
        <f t="shared" si="19"/>
        <v>3.133626849</v>
      </c>
      <c r="E40" s="48">
        <f t="shared" si="19"/>
        <v>3.519335915</v>
      </c>
      <c r="F40" s="48">
        <f t="shared" si="19"/>
        <v>3.994729964</v>
      </c>
      <c r="G40" s="48">
        <f t="shared" si="19"/>
        <v>4.59537957</v>
      </c>
      <c r="H40" s="48">
        <f t="shared" si="19"/>
        <v>5.378525396</v>
      </c>
      <c r="I40" s="1"/>
      <c r="J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6">
    <mergeCell ref="B1:H1"/>
    <mergeCell ref="B2:H2"/>
    <mergeCell ref="B5:H5"/>
    <mergeCell ref="B16:H16"/>
    <mergeCell ref="B23:H23"/>
    <mergeCell ref="B36:H36"/>
  </mergeCells>
  <printOptions/>
  <pageMargins bottom="0.5" footer="0.0" header="0.0" left="0.4" right="0.4" top="0.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32.0"/>
    <col customWidth="1" min="3" max="8" width="13.0"/>
    <col customWidth="1" min="9" max="26" width="8.71"/>
  </cols>
  <sheetData>
    <row r="1" ht="21.75" customHeight="1">
      <c r="A1" s="1"/>
      <c r="B1" s="34" t="s">
        <v>91</v>
      </c>
      <c r="I1" s="1"/>
      <c r="J1" s="1"/>
    </row>
    <row r="2" ht="15.0" customHeight="1">
      <c r="A2" s="1"/>
      <c r="B2" s="3" t="s">
        <v>92</v>
      </c>
      <c r="I2" s="1"/>
      <c r="J2" s="1"/>
    </row>
    <row r="3" ht="4.5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ht="27.75" customHeight="1">
      <c r="A4" s="1"/>
      <c r="B4" s="1"/>
      <c r="C4" s="49" t="s">
        <v>93</v>
      </c>
      <c r="D4" s="49" t="s">
        <v>94</v>
      </c>
      <c r="E4" s="49" t="s">
        <v>95</v>
      </c>
      <c r="F4" s="49" t="s">
        <v>96</v>
      </c>
      <c r="G4" s="49" t="s">
        <v>97</v>
      </c>
      <c r="H4" s="49" t="s">
        <v>98</v>
      </c>
      <c r="I4" s="1"/>
      <c r="J4" s="1"/>
    </row>
    <row r="5" ht="15.0" customHeight="1">
      <c r="A5" s="1"/>
      <c r="B5" s="4" t="s">
        <v>99</v>
      </c>
      <c r="C5" s="5"/>
      <c r="D5" s="5"/>
      <c r="E5" s="5"/>
      <c r="F5" s="5"/>
      <c r="G5" s="5"/>
      <c r="H5" s="36"/>
      <c r="I5" s="1"/>
      <c r="J5" s="1"/>
    </row>
    <row r="6" ht="15.0" customHeight="1">
      <c r="A6" s="1"/>
      <c r="B6" s="37" t="s">
        <v>100</v>
      </c>
      <c r="C6" s="1"/>
      <c r="D6" s="43">
        <f>'Income Statement'!D7</f>
        <v>571.8869</v>
      </c>
      <c r="E6" s="43">
        <f>'Income Statement'!E7</f>
        <v>600.957414</v>
      </c>
      <c r="F6" s="43">
        <f>'Income Statement'!F7</f>
        <v>631.2574606</v>
      </c>
      <c r="G6" s="43">
        <f>'Income Statement'!G7</f>
        <v>662.8346484</v>
      </c>
      <c r="H6" s="43">
        <f>'Income Statement'!H7</f>
        <v>695.7383357</v>
      </c>
      <c r="I6" s="1"/>
      <c r="J6" s="1"/>
    </row>
    <row r="7" ht="15.0" customHeight="1">
      <c r="A7" s="1"/>
      <c r="B7" s="40" t="s">
        <v>101</v>
      </c>
      <c r="C7" s="1"/>
      <c r="D7" s="1"/>
      <c r="E7" s="1"/>
      <c r="F7" s="1"/>
      <c r="G7" s="1"/>
      <c r="H7" s="50">
        <f>'LBO Model'!C15</f>
        <v>10</v>
      </c>
      <c r="I7" s="1"/>
      <c r="J7" s="1"/>
    </row>
    <row r="8" ht="15.0" customHeight="1">
      <c r="A8" s="1"/>
      <c r="B8" s="37" t="s">
        <v>102</v>
      </c>
      <c r="C8" s="1"/>
      <c r="D8" s="1"/>
      <c r="E8" s="1"/>
      <c r="F8" s="1"/>
      <c r="G8" s="1"/>
      <c r="H8" s="44">
        <f>H6*H7</f>
        <v>6957.383357</v>
      </c>
      <c r="I8" s="1"/>
      <c r="J8" s="1"/>
    </row>
    <row r="9" ht="15.0" customHeight="1">
      <c r="A9" s="1"/>
      <c r="B9" s="40" t="s">
        <v>103</v>
      </c>
      <c r="C9" s="1"/>
      <c r="D9" s="1"/>
      <c r="E9" s="1"/>
      <c r="F9" s="1"/>
      <c r="G9" s="1"/>
      <c r="H9" s="51">
        <f>-('Income Statement'!H28+'Income Statement'!H31)</f>
        <v>-1377.49744</v>
      </c>
      <c r="I9" s="1"/>
      <c r="J9" s="1"/>
    </row>
    <row r="10" ht="15.0" customHeight="1">
      <c r="A10" s="1"/>
      <c r="B10" s="40" t="s">
        <v>104</v>
      </c>
      <c r="C10" s="1"/>
      <c r="D10" s="1"/>
      <c r="E10" s="1"/>
      <c r="F10" s="1"/>
      <c r="G10" s="1"/>
      <c r="H10" s="12">
        <v>100.0</v>
      </c>
      <c r="I10" s="1"/>
      <c r="J10" s="1"/>
    </row>
    <row r="11" ht="15.0" customHeight="1">
      <c r="A11" s="1"/>
      <c r="B11" s="37" t="s">
        <v>105</v>
      </c>
      <c r="C11" s="1"/>
      <c r="D11" s="1"/>
      <c r="E11" s="1"/>
      <c r="F11" s="1"/>
      <c r="G11" s="1"/>
      <c r="H11" s="44">
        <f>H8+H9+H10</f>
        <v>5679.885917</v>
      </c>
      <c r="I11" s="1"/>
      <c r="J11" s="1"/>
    </row>
    <row r="12" ht="6.0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ht="15.0" customHeight="1">
      <c r="A13" s="1"/>
      <c r="B13" s="42" t="s">
        <v>106</v>
      </c>
      <c r="C13" s="5"/>
      <c r="D13" s="5"/>
      <c r="E13" s="5"/>
      <c r="F13" s="5"/>
      <c r="G13" s="5"/>
      <c r="H13" s="36"/>
      <c r="I13" s="1"/>
      <c r="J13" s="1"/>
    </row>
    <row r="14" ht="15.0" customHeight="1">
      <c r="A14" s="1"/>
      <c r="B14" s="37" t="s">
        <v>107</v>
      </c>
      <c r="C14" s="52">
        <f>-'LBO Model'!C25</f>
        <v>-3018</v>
      </c>
      <c r="D14" s="53">
        <v>0.0</v>
      </c>
      <c r="E14" s="53">
        <v>0.0</v>
      </c>
      <c r="F14" s="53">
        <v>0.0</v>
      </c>
      <c r="G14" s="53">
        <v>0.0</v>
      </c>
      <c r="H14" s="1"/>
      <c r="I14" s="1"/>
      <c r="J14" s="1"/>
    </row>
    <row r="15" ht="15.0" customHeight="1">
      <c r="A15" s="1"/>
      <c r="B15" s="40" t="s">
        <v>108</v>
      </c>
      <c r="C15" s="53">
        <v>0.0</v>
      </c>
      <c r="D15" s="53">
        <v>0.0</v>
      </c>
      <c r="E15" s="53">
        <v>0.0</v>
      </c>
      <c r="F15" s="53">
        <v>0.0</v>
      </c>
      <c r="G15" s="53">
        <v>0.0</v>
      </c>
      <c r="H15" s="53">
        <v>0.0</v>
      </c>
      <c r="I15" s="1"/>
      <c r="J15" s="1"/>
    </row>
    <row r="16" ht="15.0" customHeight="1">
      <c r="A16" s="1"/>
      <c r="B16" s="37" t="s">
        <v>109</v>
      </c>
      <c r="C16" s="53">
        <v>0.0</v>
      </c>
      <c r="D16" s="53">
        <v>0.0</v>
      </c>
      <c r="E16" s="53">
        <v>0.0</v>
      </c>
      <c r="F16" s="53">
        <v>0.0</v>
      </c>
      <c r="G16" s="53">
        <v>0.0</v>
      </c>
      <c r="H16" s="54">
        <f>H11</f>
        <v>5679.885917</v>
      </c>
      <c r="I16" s="1"/>
      <c r="J16" s="1"/>
    </row>
    <row r="17" ht="15.0" customHeight="1">
      <c r="A17" s="1"/>
      <c r="B17" s="37" t="s">
        <v>110</v>
      </c>
      <c r="C17" s="44">
        <f t="shared" ref="C17:H17" si="1">C14+C15+C16</f>
        <v>-3018</v>
      </c>
      <c r="D17" s="39">
        <f t="shared" si="1"/>
        <v>0</v>
      </c>
      <c r="E17" s="39">
        <f t="shared" si="1"/>
        <v>0</v>
      </c>
      <c r="F17" s="39">
        <f t="shared" si="1"/>
        <v>0</v>
      </c>
      <c r="G17" s="39">
        <f t="shared" si="1"/>
        <v>0</v>
      </c>
      <c r="H17" s="44">
        <f t="shared" si="1"/>
        <v>5679.885917</v>
      </c>
      <c r="I17" s="1"/>
      <c r="J17" s="1"/>
    </row>
    <row r="18" ht="6.0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ht="15.0" customHeight="1">
      <c r="A19" s="1"/>
      <c r="B19" s="4" t="s">
        <v>111</v>
      </c>
      <c r="C19" s="5"/>
      <c r="D19" s="5"/>
      <c r="E19" s="5"/>
      <c r="F19" s="5"/>
      <c r="G19" s="5"/>
      <c r="H19" s="36"/>
      <c r="I19" s="1"/>
      <c r="J19" s="1"/>
    </row>
    <row r="20" ht="15.0" customHeight="1">
      <c r="A20" s="1"/>
      <c r="B20" s="37" t="s">
        <v>112</v>
      </c>
      <c r="C20" s="1"/>
      <c r="D20" s="1"/>
      <c r="E20" s="1"/>
      <c r="F20" s="1"/>
      <c r="G20" s="1"/>
      <c r="H20" s="43">
        <f>ABS(C14)</f>
        <v>3018</v>
      </c>
      <c r="I20" s="1"/>
      <c r="J20" s="1"/>
    </row>
    <row r="21" ht="15.0" customHeight="1">
      <c r="A21" s="1"/>
      <c r="B21" s="37" t="s">
        <v>105</v>
      </c>
      <c r="C21" s="1"/>
      <c r="D21" s="1"/>
      <c r="E21" s="1"/>
      <c r="F21" s="1"/>
      <c r="G21" s="1"/>
      <c r="H21" s="43">
        <f>H11</f>
        <v>5679.885917</v>
      </c>
      <c r="I21" s="1"/>
      <c r="J21" s="1"/>
    </row>
    <row r="22" ht="15.0" customHeight="1">
      <c r="A22" s="1"/>
      <c r="B22" s="40" t="s">
        <v>113</v>
      </c>
      <c r="C22" s="1"/>
      <c r="D22" s="1"/>
      <c r="E22" s="1"/>
      <c r="F22" s="1"/>
      <c r="G22" s="1"/>
      <c r="H22" s="55">
        <v>5.0</v>
      </c>
      <c r="I22" s="1"/>
      <c r="J22" s="1"/>
    </row>
    <row r="23" ht="15.0" customHeight="1">
      <c r="A23" s="1"/>
      <c r="B23" s="37" t="s">
        <v>114</v>
      </c>
      <c r="C23" s="1"/>
      <c r="D23" s="1"/>
      <c r="E23" s="1"/>
      <c r="F23" s="1"/>
      <c r="G23" s="1"/>
      <c r="H23" s="56">
        <f>H21/H20</f>
        <v>1.882003286</v>
      </c>
      <c r="I23" s="1"/>
      <c r="J23" s="1"/>
    </row>
    <row r="24" ht="15.0" customHeight="1">
      <c r="A24" s="1"/>
      <c r="B24" s="37" t="s">
        <v>115</v>
      </c>
      <c r="C24" s="1"/>
      <c r="D24" s="1"/>
      <c r="E24" s="1"/>
      <c r="F24" s="1"/>
      <c r="G24" s="1"/>
      <c r="H24" s="57">
        <f>IFERROR(IRR(C17:H17),0)</f>
        <v>0.1348124074</v>
      </c>
      <c r="I24" s="1"/>
      <c r="J24" s="1"/>
    </row>
    <row r="25" ht="15.0" customHeight="1">
      <c r="A25" s="1"/>
      <c r="B25" s="40" t="s">
        <v>116</v>
      </c>
      <c r="C25" s="1"/>
      <c r="D25" s="1"/>
      <c r="E25" s="1"/>
      <c r="F25" s="1"/>
      <c r="G25" s="1"/>
      <c r="H25" s="26">
        <f>'LBO Model'!C7</f>
        <v>9.5</v>
      </c>
      <c r="I25" s="1"/>
      <c r="J25" s="1"/>
    </row>
    <row r="26" ht="15.0" customHeight="1">
      <c r="A26" s="1"/>
      <c r="B26" s="40" t="s">
        <v>101</v>
      </c>
      <c r="C26" s="1"/>
      <c r="D26" s="1"/>
      <c r="E26" s="1"/>
      <c r="F26" s="1"/>
      <c r="G26" s="1"/>
      <c r="H26" s="26">
        <f>'LBO Model'!C15</f>
        <v>10</v>
      </c>
      <c r="I26" s="1"/>
      <c r="J26" s="1"/>
    </row>
    <row r="27" ht="15.0" customHeight="1">
      <c r="A27" s="1"/>
      <c r="B27" s="40" t="s">
        <v>117</v>
      </c>
      <c r="C27" s="1"/>
      <c r="D27" s="1"/>
      <c r="E27" s="1"/>
      <c r="F27" s="1"/>
      <c r="G27" s="1"/>
      <c r="H27" s="26">
        <f>'Income Statement'!C38</f>
        <v>4.227941176</v>
      </c>
      <c r="I27" s="1"/>
      <c r="J27" s="1"/>
    </row>
    <row r="28" ht="15.0" customHeight="1">
      <c r="A28" s="1"/>
      <c r="B28" s="40" t="s">
        <v>118</v>
      </c>
      <c r="C28" s="58">
        <f>H24</f>
        <v>0.1348124074</v>
      </c>
      <c r="D28" s="1"/>
      <c r="E28" s="1"/>
      <c r="F28" s="1"/>
      <c r="G28" s="1"/>
      <c r="H28" s="26">
        <f>'Income Statement'!H38</f>
        <v>1.979907344</v>
      </c>
      <c r="I28" s="1"/>
      <c r="J28" s="1"/>
    </row>
    <row r="29" ht="6.0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ht="15.0" customHeight="1">
      <c r="A30" s="1"/>
      <c r="B30" s="4" t="s">
        <v>119</v>
      </c>
      <c r="C30" s="5"/>
      <c r="D30" s="5"/>
      <c r="E30" s="5"/>
      <c r="F30" s="5"/>
      <c r="G30" s="5"/>
      <c r="H30" s="36"/>
      <c r="I30" s="1"/>
      <c r="J30" s="1"/>
    </row>
    <row r="31" ht="15.0" customHeight="1">
      <c r="A31" s="1"/>
      <c r="B31" s="10" t="s">
        <v>120</v>
      </c>
      <c r="C31" s="10" t="s">
        <v>121</v>
      </c>
      <c r="D31" s="10" t="s">
        <v>122</v>
      </c>
      <c r="E31" s="10" t="s">
        <v>123</v>
      </c>
      <c r="F31" s="10" t="s">
        <v>124</v>
      </c>
      <c r="G31" s="10" t="s">
        <v>125</v>
      </c>
      <c r="H31" s="1"/>
      <c r="I31" s="1"/>
      <c r="J31" s="1"/>
    </row>
    <row r="32" ht="15.0" customHeight="1">
      <c r="A32" s="1"/>
      <c r="B32" s="10" t="s">
        <v>126</v>
      </c>
      <c r="C32" s="59">
        <f>IFERROR((('Income Statement'!H7*8-('Income Statement'!H28+'Income Statement'!H31)+100)/('LBO Model'!C6*8.5-'LBO Model'!C9-'LBO Model'!C12))^(1/5)-1,0)</f>
        <v>0.1564833493</v>
      </c>
      <c r="D32" s="59">
        <f>IFERROR((('Income Statement'!H7*9-('Income Statement'!H28+'Income Statement'!H31)+100)/('LBO Model'!C6*8.5-'LBO Model'!C9-'LBO Model'!C12))^(1/5)-1,0)</f>
        <v>0.1917861065</v>
      </c>
      <c r="E32" s="59">
        <f>IFERROR((('Income Statement'!H7*10-('Income Statement'!H28+'Income Statement'!H31)+100)/('LBO Model'!C6*8.5-'LBO Model'!C9-'LBO Model'!C12))^(1/5)-1,0)</f>
        <v>0.2233424954</v>
      </c>
      <c r="F32" s="59">
        <f>IFERROR((('Income Statement'!H7*11-('Income Statement'!H28+'Income Statement'!H31)+100)/('LBO Model'!C6*8.5-'LBO Model'!C9-'LBO Model'!C12))^(1/5)-1,0)</f>
        <v>0.2519433637</v>
      </c>
      <c r="G32" s="59">
        <f>IFERROR((('Income Statement'!H7*12-('Income Statement'!H28+'Income Statement'!H31)+100)/('LBO Model'!C6*8.5-'LBO Model'!C9-'LBO Model'!C12))^(1/5)-1,0)</f>
        <v>0.2781468701</v>
      </c>
      <c r="H32" s="1"/>
      <c r="I32" s="1"/>
      <c r="J32" s="1"/>
    </row>
    <row r="33" ht="15.0" customHeight="1">
      <c r="A33" s="1"/>
      <c r="B33" s="10" t="s">
        <v>122</v>
      </c>
      <c r="C33" s="60">
        <f>IFERROR((('Income Statement'!H7*8-('Income Statement'!H28+'Income Statement'!H31)+100)/('LBO Model'!C6*9-'LBO Model'!C9-'LBO Model'!C12))^(1/5)-1,0)</f>
        <v>0.1283158146</v>
      </c>
      <c r="D33" s="60">
        <f>IFERROR((('Income Statement'!H7*9-('Income Statement'!H28+'Income Statement'!H31)+100)/('LBO Model'!C6*9-'LBO Model'!C9-'LBO Model'!C12))^(1/5)-1,0)</f>
        <v>0.162758731</v>
      </c>
      <c r="E33" s="60">
        <f>IFERROR((('Income Statement'!H7*10-('Income Statement'!H28+'Income Statement'!H31)+100)/('LBO Model'!C6*9-'LBO Model'!C9-'LBO Model'!C12))^(1/5)-1,0)</f>
        <v>0.1935465263</v>
      </c>
      <c r="F33" s="60">
        <f>IFERROR((('Income Statement'!H7*11-('Income Statement'!H28+'Income Statement'!H31)+100)/('LBO Model'!C6*9-'LBO Model'!C9-'LBO Model'!C12))^(1/5)-1,0)</f>
        <v>0.2214507862</v>
      </c>
      <c r="G33" s="60">
        <f>IFERROR((('Income Statement'!H7*12-('Income Statement'!H28+'Income Statement'!H31)+100)/('LBO Model'!C6*9-'LBO Model'!C9-'LBO Model'!C12))^(1/5)-1,0)</f>
        <v>0.247016075</v>
      </c>
      <c r="H33" s="1"/>
      <c r="I33" s="1"/>
      <c r="J33" s="1"/>
    </row>
    <row r="34" ht="15.0" customHeight="1">
      <c r="A34" s="1"/>
      <c r="B34" s="10" t="s">
        <v>127</v>
      </c>
      <c r="C34" s="59">
        <f>IFERROR((('Income Statement'!H7*8-('Income Statement'!H28+'Income Statement'!H31)+100)/('LBO Model'!C6*9.5-'LBO Model'!C9-'LBO Model'!C12))^(1/5)-1,0)</f>
        <v>0.1038206137</v>
      </c>
      <c r="D34" s="59">
        <f>IFERROR((('Income Statement'!H7*9-('Income Statement'!H28+'Income Statement'!H31)+100)/('LBO Model'!C6*9.5-'LBO Model'!C9-'LBO Model'!C12))^(1/5)-1,0)</f>
        <v>0.1375157907</v>
      </c>
      <c r="E34" s="61">
        <f>IFERROR((('Income Statement'!H7*10-('Income Statement'!H28+'Income Statement'!H31)+100)/('LBO Model'!C6*9.5-'LBO Model'!C9-'LBO Model'!C12))^(1/5)-1,0)</f>
        <v>0.1676351976</v>
      </c>
      <c r="F34" s="59">
        <f>IFERROR((('Income Statement'!H7*11-('Income Statement'!H28+'Income Statement'!H31)+100)/('LBO Model'!C6*9.5-'LBO Model'!C9-'LBO Model'!C12))^(1/5)-1,0)</f>
        <v>0.1949336692</v>
      </c>
      <c r="G34" s="59">
        <f>IFERROR((('Income Statement'!H7*12-('Income Statement'!H28+'Income Statement'!H31)+100)/('LBO Model'!C6*9.5-'LBO Model'!C9-'LBO Model'!C12))^(1/5)-1,0)</f>
        <v>0.2199439477</v>
      </c>
      <c r="H34" s="1"/>
      <c r="I34" s="1"/>
      <c r="J34" s="1"/>
    </row>
    <row r="35" ht="15.0" customHeight="1">
      <c r="A35" s="1"/>
      <c r="B35" s="10" t="s">
        <v>123</v>
      </c>
      <c r="C35" s="60">
        <f>IFERROR((('Income Statement'!H7*8-('Income Statement'!H28+'Income Statement'!H31)+100)/('LBO Model'!C6*10-'LBO Model'!C9-'LBO Model'!C12))^(1/5)-1,0)</f>
        <v>0.08220549896</v>
      </c>
      <c r="D35" s="60">
        <f>IFERROR((('Income Statement'!H7*9-('Income Statement'!H28+'Income Statement'!H31)+100)/('LBO Model'!C6*10-'LBO Model'!C9-'LBO Model'!C12))^(1/5)-1,0)</f>
        <v>0.115240854</v>
      </c>
      <c r="E35" s="60">
        <f>IFERROR((('Income Statement'!H7*10-('Income Statement'!H28+'Income Statement'!H31)+100)/('LBO Model'!C6*10-'LBO Model'!C9-'LBO Model'!C12))^(1/5)-1,0)</f>
        <v>0.1447704599</v>
      </c>
      <c r="F35" s="60">
        <f>IFERROR((('Income Statement'!H7*11-('Income Statement'!H28+'Income Statement'!H31)+100)/('LBO Model'!C6*10-'LBO Model'!C9-'LBO Model'!C12))^(1/5)-1,0)</f>
        <v>0.1715343704</v>
      </c>
      <c r="G35" s="60">
        <f>IFERROR((('Income Statement'!H7*12-('Income Statement'!H28+'Income Statement'!H31)+100)/('LBO Model'!C6*10-'LBO Model'!C9-'LBO Model'!C12))^(1/5)-1,0)</f>
        <v>0.1960548954</v>
      </c>
      <c r="H35" s="1"/>
      <c r="I35" s="1"/>
      <c r="J35" s="1"/>
    </row>
    <row r="36" ht="15.0" customHeight="1">
      <c r="A36" s="1"/>
      <c r="B36" s="10" t="s">
        <v>128</v>
      </c>
      <c r="C36" s="59">
        <f>IFERROR((('Income Statement'!H7*8-('Income Statement'!H28+'Income Statement'!H31)+100)/('LBO Model'!C6*10.5-'LBO Model'!C9-'LBO Model'!C12))^(1/5)-1,0)</f>
        <v>0.06290474435</v>
      </c>
      <c r="D36" s="59">
        <f>IFERROR((('Income Statement'!H7*9-('Income Statement'!H28+'Income Statement'!H31)+100)/('LBO Model'!C6*10.5-'LBO Model'!C9-'LBO Model'!C12))^(1/5)-1,0)</f>
        <v>0.09535092542</v>
      </c>
      <c r="E36" s="59">
        <f>IFERROR((('Income Statement'!H7*10-('Income Statement'!H28+'Income Statement'!H31)+100)/('LBO Model'!C6*10.5-'LBO Model'!C9-'LBO Model'!C12))^(1/5)-1,0)</f>
        <v>0.1243538812</v>
      </c>
      <c r="F36" s="59">
        <f>IFERROR((('Income Statement'!H7*11-('Income Statement'!H28+'Income Statement'!H31)+100)/('LBO Model'!C6*10.5-'LBO Model'!C9-'LBO Model'!C12))^(1/5)-1,0)</f>
        <v>0.1506404668</v>
      </c>
      <c r="G36" s="59">
        <f>IFERROR((('Income Statement'!H7*12-('Income Statement'!H28+'Income Statement'!H31)+100)/('LBO Model'!C6*10.5-'LBO Model'!C9-'LBO Model'!C12))^(1/5)-1,0)</f>
        <v>0.1747236768</v>
      </c>
      <c r="H36" s="1"/>
      <c r="I36" s="1"/>
      <c r="J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51.75" customHeight="1">
      <c r="A38" s="1"/>
      <c r="B38" s="14" t="s">
        <v>129</v>
      </c>
      <c r="I38" s="1"/>
      <c r="J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7">
    <mergeCell ref="B1:H1"/>
    <mergeCell ref="B2:H2"/>
    <mergeCell ref="B5:H5"/>
    <mergeCell ref="B13:H13"/>
    <mergeCell ref="B19:H19"/>
    <mergeCell ref="B30:H30"/>
    <mergeCell ref="B38:H38"/>
  </mergeCells>
  <printOptions/>
  <pageMargins bottom="0.5" footer="0.0" header="0.0" left="0.4" right="0.4" top="0.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2026-06-22T04:21:40Z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